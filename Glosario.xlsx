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8cd99136cfcc98d8/Documentos/FCFM/TesinaMCD/"/>
    </mc:Choice>
  </mc:AlternateContent>
  <xr:revisionPtr revIDLastSave="42" documentId="8_{EC0D53CF-C172-4D0F-B149-549F69BA81B0}" xr6:coauthVersionLast="47" xr6:coauthVersionMax="47" xr10:uidLastSave="{62510E18-489B-4B21-81D1-58CB1FC99BF5}"/>
  <bookViews>
    <workbookView xWindow="-108" yWindow="-108" windowWidth="23256" windowHeight="12576" xr2:uid="{D5830B11-BCB8-45B1-B10B-94BF0FDF06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/>
  <c r="D41" i="1"/>
  <c r="D12" i="1"/>
  <c r="D31" i="1"/>
  <c r="D24" i="1"/>
  <c r="D2" i="1"/>
  <c r="D28" i="1"/>
  <c r="D36" i="1"/>
  <c r="D18" i="1"/>
  <c r="D17" i="1"/>
  <c r="D39" i="1"/>
  <c r="D14" i="1"/>
  <c r="D19" i="1"/>
  <c r="D20" i="1"/>
  <c r="D6" i="1"/>
  <c r="D27" i="1"/>
  <c r="D30" i="1"/>
  <c r="D34" i="1"/>
  <c r="D35" i="1"/>
  <c r="D16" i="1"/>
  <c r="D13" i="1"/>
  <c r="D10" i="1"/>
  <c r="D11" i="1"/>
  <c r="D38" i="1"/>
  <c r="D33" i="1"/>
  <c r="D8" i="1"/>
  <c r="D37" i="1"/>
  <c r="D15" i="1"/>
  <c r="D7" i="1"/>
  <c r="D5" i="1"/>
  <c r="D22" i="1"/>
  <c r="D3" i="1"/>
  <c r="D4" i="1"/>
  <c r="D29" i="1"/>
  <c r="D23" i="1"/>
  <c r="D26" i="1"/>
  <c r="D25" i="1"/>
  <c r="D32" i="1"/>
  <c r="D9" i="1"/>
  <c r="D21" i="1"/>
</calcChain>
</file>

<file path=xl/sharedStrings.xml><?xml version="1.0" encoding="utf-8"?>
<sst xmlns="http://schemas.openxmlformats.org/spreadsheetml/2006/main" count="156" uniqueCount="105">
  <si>
    <t>Acrónimo</t>
  </si>
  <si>
    <t>Español</t>
  </si>
  <si>
    <t>Inglés</t>
  </si>
  <si>
    <t>IPCC</t>
  </si>
  <si>
    <t>Grupo Intergubernamental de Expertos sobre el Cambio Climático</t>
  </si>
  <si>
    <t>Intergovernmental Panel on Climate Change</t>
  </si>
  <si>
    <t>CONUEE</t>
  </si>
  <si>
    <t>SENER</t>
  </si>
  <si>
    <t>Secretaría de Energía</t>
  </si>
  <si>
    <t>Comisión Nacional para el uso Eficiente de la Energía</t>
  </si>
  <si>
    <t>GENI</t>
  </si>
  <si>
    <t>Insituto de Redes de Energía Global</t>
  </si>
  <si>
    <t>Global Energy Network Insitute</t>
  </si>
  <si>
    <t>CONACYT</t>
  </si>
  <si>
    <t>Consejo Nacional de Ciencia y Tecnología</t>
  </si>
  <si>
    <t>Texto</t>
  </si>
  <si>
    <t>CIEP</t>
  </si>
  <si>
    <t>Centro de Investigación Económica y Presupuestaria</t>
  </si>
  <si>
    <t>IRENA</t>
  </si>
  <si>
    <t>Agencia Internacional de Energías Renovables</t>
  </si>
  <si>
    <t>International Renewable Energy Agency</t>
  </si>
  <si>
    <t>CENACE</t>
  </si>
  <si>
    <t>Centro Nacional de Control de Energía</t>
  </si>
  <si>
    <t>Introducción</t>
  </si>
  <si>
    <t>x</t>
  </si>
  <si>
    <t>CFE</t>
  </si>
  <si>
    <t>Comisión Federal de Electricidad</t>
  </si>
  <si>
    <t>Cap 2</t>
  </si>
  <si>
    <t>MEM</t>
  </si>
  <si>
    <t>Mercado Eléctrico Mayorista</t>
  </si>
  <si>
    <t>Cap 3</t>
  </si>
  <si>
    <t>Cap 4</t>
  </si>
  <si>
    <t>Cap 5</t>
  </si>
  <si>
    <t>J</t>
  </si>
  <si>
    <t>julios</t>
  </si>
  <si>
    <t>kWh</t>
  </si>
  <si>
    <t>kilovatio-hora</t>
  </si>
  <si>
    <t>kW</t>
  </si>
  <si>
    <t>kilovatios</t>
  </si>
  <si>
    <t>MW</t>
  </si>
  <si>
    <t>megavatios</t>
  </si>
  <si>
    <t>DAC</t>
  </si>
  <si>
    <t>Doméstica de Alto Consumo</t>
  </si>
  <si>
    <t>PDBT</t>
  </si>
  <si>
    <t>Pequeña Demanda en Baja Tensión</t>
  </si>
  <si>
    <t>GDBT</t>
  </si>
  <si>
    <t>Gran Demanda en Baja Tensión</t>
  </si>
  <si>
    <t>DIST</t>
  </si>
  <si>
    <t>Demanda Industrial en Subtransmisión</t>
  </si>
  <si>
    <t>DIT</t>
  </si>
  <si>
    <t>Demanda Industrial en Transmisión</t>
  </si>
  <si>
    <t>SSB</t>
  </si>
  <si>
    <t>Suministrador de Servicios Básicos</t>
  </si>
  <si>
    <t>SSC</t>
  </si>
  <si>
    <t>Suministrador de Servicios Calificados</t>
  </si>
  <si>
    <t>GEI</t>
  </si>
  <si>
    <t>gases de efecto invernadero</t>
  </si>
  <si>
    <t>GWh</t>
  </si>
  <si>
    <t>Gigavatios-hora</t>
  </si>
  <si>
    <t>IA</t>
  </si>
  <si>
    <t>inteligencia artificial</t>
  </si>
  <si>
    <t>CNN</t>
  </si>
  <si>
    <t>redes neuronales convolucionales</t>
  </si>
  <si>
    <t>LSTM</t>
  </si>
  <si>
    <t>memoria a largo  y corto plazo</t>
  </si>
  <si>
    <t>MISO</t>
  </si>
  <si>
    <t>optimizador de serpiente mejorado con estrategias múltiples</t>
  </si>
  <si>
    <t>R2</t>
  </si>
  <si>
    <t>coeficiente de determinación</t>
  </si>
  <si>
    <t>RMSE</t>
  </si>
  <si>
    <t>raíz del error cuadrático medio</t>
  </si>
  <si>
    <t>GMM</t>
  </si>
  <si>
    <t>modelo de mezcla gaussiana</t>
  </si>
  <si>
    <t>RNN</t>
  </si>
  <si>
    <t>redes neuronales recurrentes</t>
  </si>
  <si>
    <t>GRU</t>
  </si>
  <si>
    <t>Convolutional Neural Network</t>
  </si>
  <si>
    <t>Long Short-Term Network</t>
  </si>
  <si>
    <t>Multi-Strategy Improved Snake Optimizer</t>
  </si>
  <si>
    <t>Root Mean Square Error</t>
  </si>
  <si>
    <t>Gaussian Mixture Model</t>
  </si>
  <si>
    <t>Recurrent Neural Network</t>
  </si>
  <si>
    <t>unidad recurrente con puertas</t>
  </si>
  <si>
    <t>Gated Recurrent Unit</t>
  </si>
  <si>
    <t>GPR</t>
  </si>
  <si>
    <t>regresión de procesos gaussianos</t>
  </si>
  <si>
    <t>Gaussian Process Regression</t>
  </si>
  <si>
    <t>Cap 6</t>
  </si>
  <si>
    <t>MAE</t>
  </si>
  <si>
    <t>error absoluto medio</t>
  </si>
  <si>
    <t>Mean Absolute Error</t>
  </si>
  <si>
    <t>API</t>
  </si>
  <si>
    <t>interfaz de programación de aplicaciones</t>
  </si>
  <si>
    <t>application programming interface</t>
  </si>
  <si>
    <t>km/h</t>
  </si>
  <si>
    <t>kilómetros por hora</t>
  </si>
  <si>
    <t>mm</t>
  </si>
  <si>
    <t>milímetros</t>
  </si>
  <si>
    <t>DPT</t>
  </si>
  <si>
    <t>Punto de Rocío</t>
  </si>
  <si>
    <t>CH</t>
  </si>
  <si>
    <t>Calinski-Harabasz</t>
  </si>
  <si>
    <t>BIC</t>
  </si>
  <si>
    <t>criterio de información bayesiano</t>
  </si>
  <si>
    <t>Bayesian Information Criterion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</si>
</sst>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094194-6638-4829-AC95-20B12B18C431}" name="Table1" displayName="Table1" ref="A1:J41" totalsRowShown="0" headerRowDxfId="11" dataDxfId="10">
  <autoFilter ref="A1:J41" xr:uid="{CA094194-6638-4829-AC95-20B12B18C431}"/>
  <sortState xmlns:xlrd2="http://schemas.microsoft.com/office/spreadsheetml/2017/richdata2" ref="A2:J39">
    <sortCondition ref="A1:A39"/>
  </sortState>
  <tableColumns count="10">
    <tableColumn id="1" xr3:uid="{7F75F2B0-9B10-49A0-93D6-9E04264B5744}" name="Acrónimo" dataDxfId="9"/>
    <tableColumn id="2" xr3:uid="{E4E70231-F8D2-4089-953B-AC0493753614}" name="Español" dataDxfId="8"/>
    <tableColumn id="3" xr3:uid="{CBE42493-91CA-40A3-BFC5-A2A4022A5D2A}" name="Inglés" dataDxfId="7"/>
    <tableColumn id="4" xr3:uid="{93C72F03-F514-4DA4-8427-690CA12F70AE}" name="Texto" dataDxfId="6"/>
    <tableColumn id="13" xr3:uid="{3F4A3ADA-6415-4169-B60E-C19559263A63}" name="Cap 6" dataDxfId="5"/>
    <tableColumn id="12" xr3:uid="{72F24BF3-7CF4-45A0-9C3C-593D7AF578AB}" name="Cap 5" dataDxfId="4"/>
    <tableColumn id="10" xr3:uid="{48D142D7-661A-48E8-AF0A-3A21036A5E86}" name="Cap 4" dataDxfId="3"/>
    <tableColumn id="8" xr3:uid="{897F9F08-403C-4522-BE04-D2FD487A3E27}" name="Cap 3" dataDxfId="2"/>
    <tableColumn id="6" xr3:uid="{DC0A4DBE-D9AF-4E71-A18E-EB3685D767E1}" name="Cap 2" dataDxfId="1"/>
    <tableColumn id="5" xr3:uid="{9BAC6C24-064A-4584-AAE1-C64716389EC8}" name="Introducció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C1E6-19F5-4F1D-A6FC-AD0154DC58E5}">
  <dimension ref="A1:J41"/>
  <sheetViews>
    <sheetView tabSelected="1" topLeftCell="A30" workbookViewId="0">
      <selection activeCell="D41" sqref="D41"/>
    </sheetView>
  </sheetViews>
  <sheetFormatPr defaultRowHeight="14.4" x14ac:dyDescent="0.3"/>
  <cols>
    <col min="1" max="1" width="12.6640625" style="1" customWidth="1"/>
    <col min="2" max="2" width="39.33203125" style="1" customWidth="1"/>
    <col min="3" max="3" width="38.33203125" style="1" customWidth="1"/>
    <col min="4" max="4" width="83.6640625" style="1" customWidth="1"/>
    <col min="5" max="8" width="9" style="1" customWidth="1"/>
    <col min="9" max="9" width="12.55468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15</v>
      </c>
      <c r="E1" s="1" t="s">
        <v>87</v>
      </c>
      <c r="F1" s="1" t="s">
        <v>32</v>
      </c>
      <c r="G1" s="1" t="s">
        <v>31</v>
      </c>
      <c r="H1" s="1" t="s">
        <v>30</v>
      </c>
      <c r="I1" s="1" t="s">
        <v>27</v>
      </c>
      <c r="J1" s="1" t="s">
        <v>23</v>
      </c>
    </row>
    <row r="2" spans="1:10" ht="36" x14ac:dyDescent="0.35">
      <c r="A2" s="2" t="s">
        <v>91</v>
      </c>
      <c r="B2" s="2" t="s">
        <v>92</v>
      </c>
      <c r="C2" s="2" t="s">
        <v>93</v>
      </c>
      <c r="D2" s="2" t="str">
        <f>IF(A2="","",B2&amp;" ("&amp;IF(C2="","","\textit{"&amp;C2&amp;"}, ")&amp;A2&amp;")")</f>
        <v>interfaz de programación de aplicaciones (\textit{application programming interface}, API)</v>
      </c>
      <c r="E2" s="2" t="s">
        <v>24</v>
      </c>
      <c r="F2" s="2"/>
      <c r="G2" s="2"/>
      <c r="H2" s="2"/>
      <c r="I2" s="2"/>
      <c r="J2" s="2"/>
    </row>
    <row r="3" spans="1:10" ht="36" x14ac:dyDescent="0.35">
      <c r="A3" s="2" t="s">
        <v>21</v>
      </c>
      <c r="B3" s="2" t="s">
        <v>22</v>
      </c>
      <c r="C3" s="2"/>
      <c r="D3" s="2" t="str">
        <f>IF(A3="","",B3&amp;" ("&amp;IF(C3="","","\textit{"&amp;C3&amp;"}, ")&amp;A3&amp;")")</f>
        <v>Centro Nacional de Control de Energía (CENACE)</v>
      </c>
      <c r="E3" s="2"/>
      <c r="F3" s="2" t="s">
        <v>24</v>
      </c>
      <c r="G3" s="2"/>
      <c r="H3" s="2"/>
      <c r="I3" s="2" t="s">
        <v>24</v>
      </c>
      <c r="J3" s="2"/>
    </row>
    <row r="4" spans="1:10" ht="18" x14ac:dyDescent="0.35">
      <c r="A4" s="2" t="s">
        <v>25</v>
      </c>
      <c r="B4" s="2" t="s">
        <v>26</v>
      </c>
      <c r="C4" s="2"/>
      <c r="D4" s="2" t="str">
        <f>IF(A4="","",B4&amp;" ("&amp;IF(C4="","","\textit{"&amp;C4&amp;"}, ")&amp;A4&amp;")")</f>
        <v>Comisión Federal de Electricidad (CFE)</v>
      </c>
      <c r="E4" s="2"/>
      <c r="F4" s="2" t="s">
        <v>24</v>
      </c>
      <c r="G4" s="2"/>
      <c r="H4" s="2" t="s">
        <v>24</v>
      </c>
      <c r="I4" s="2" t="s">
        <v>24</v>
      </c>
      <c r="J4" s="2" t="s">
        <v>24</v>
      </c>
    </row>
    <row r="5" spans="1:10" ht="36" x14ac:dyDescent="0.35">
      <c r="A5" s="2" t="s">
        <v>16</v>
      </c>
      <c r="B5" s="2" t="s">
        <v>17</v>
      </c>
      <c r="C5" s="2"/>
      <c r="D5" s="2" t="str">
        <f>IF(A5="","",B5&amp;" ("&amp;IF(C5="","","\textit{"&amp;C5&amp;"}, ")&amp;A5&amp;")")</f>
        <v>Centro de Investigación Económica y Presupuestaria (CIEP)</v>
      </c>
      <c r="E5" s="2"/>
      <c r="F5" s="2" t="s">
        <v>24</v>
      </c>
      <c r="G5" s="2"/>
      <c r="H5" s="2"/>
      <c r="I5" s="2"/>
      <c r="J5" s="2"/>
    </row>
    <row r="6" spans="1:10" ht="36" x14ac:dyDescent="0.35">
      <c r="A6" s="2" t="s">
        <v>61</v>
      </c>
      <c r="B6" s="2" t="s">
        <v>62</v>
      </c>
      <c r="C6" s="2" t="s">
        <v>76</v>
      </c>
      <c r="D6" s="2" t="str">
        <f>IF(A6="","",B6&amp;" ("&amp;IF(C6="","","\textit{"&amp;C6&amp;"}, ")&amp;A6&amp;")")</f>
        <v>redes neuronales convolucionales (\textit{Convolutional Neural Network}, CNN)</v>
      </c>
      <c r="E6" s="2"/>
      <c r="F6" s="2" t="s">
        <v>24</v>
      </c>
      <c r="G6" s="2"/>
      <c r="H6" s="2"/>
      <c r="I6" s="2"/>
      <c r="J6" s="2"/>
    </row>
    <row r="7" spans="1:10" ht="36" x14ac:dyDescent="0.35">
      <c r="A7" s="2" t="s">
        <v>13</v>
      </c>
      <c r="B7" s="2" t="s">
        <v>14</v>
      </c>
      <c r="C7" s="2"/>
      <c r="D7" s="2" t="str">
        <f>IF(A7="","",B7&amp;" ("&amp;IF(C7="","","\textit{"&amp;C7&amp;"}, ")&amp;A7&amp;")")</f>
        <v>Consejo Nacional de Ciencia y Tecnología (CONACYT)</v>
      </c>
      <c r="E7" s="2"/>
      <c r="F7" s="2" t="s">
        <v>24</v>
      </c>
      <c r="G7" s="2"/>
      <c r="H7" s="2"/>
      <c r="I7" s="2"/>
      <c r="J7" s="2"/>
    </row>
    <row r="8" spans="1:10" ht="36" x14ac:dyDescent="0.35">
      <c r="A8" s="2" t="s">
        <v>6</v>
      </c>
      <c r="B8" s="2" t="s">
        <v>9</v>
      </c>
      <c r="C8" s="2"/>
      <c r="D8" s="2" t="str">
        <f>IF(A8="","",B8&amp;" ("&amp;IF(C8="","","\textit{"&amp;C8&amp;"}, ")&amp;A8&amp;")")</f>
        <v>Comisión Nacional para el uso Eficiente de la Energía (CONUEE)</v>
      </c>
      <c r="E8" s="2"/>
      <c r="F8" s="2" t="s">
        <v>24</v>
      </c>
      <c r="G8" s="2"/>
      <c r="H8" s="2"/>
      <c r="I8" s="2"/>
      <c r="J8" s="2"/>
    </row>
    <row r="9" spans="1:10" ht="18" x14ac:dyDescent="0.35">
      <c r="A9" s="2" t="s">
        <v>41</v>
      </c>
      <c r="B9" s="2" t="s">
        <v>42</v>
      </c>
      <c r="C9" s="2"/>
      <c r="D9" s="2" t="str">
        <f>IF(A9="","",B9&amp;" ("&amp;IF(C9="","","\textit{"&amp;C9&amp;"}, ")&amp;A9&amp;")")</f>
        <v>Doméstica de Alto Consumo (DAC)</v>
      </c>
      <c r="E9" s="2"/>
      <c r="F9" s="2" t="s">
        <v>24</v>
      </c>
      <c r="G9" s="2"/>
      <c r="H9" s="2"/>
      <c r="I9" s="2"/>
      <c r="J9" s="2"/>
    </row>
    <row r="10" spans="1:10" ht="36" x14ac:dyDescent="0.35">
      <c r="A10" s="2" t="s">
        <v>47</v>
      </c>
      <c r="B10" s="2" t="s">
        <v>48</v>
      </c>
      <c r="C10" s="2"/>
      <c r="D10" s="2" t="str">
        <f>IF(A10="","",B10&amp;" ("&amp;IF(C10="","","\textit{"&amp;C10&amp;"}, ")&amp;A10&amp;")")</f>
        <v>Demanda Industrial en Subtransmisión (DIST)</v>
      </c>
      <c r="E10" s="2"/>
      <c r="F10" s="2" t="s">
        <v>24</v>
      </c>
      <c r="G10" s="2"/>
      <c r="H10" s="2"/>
      <c r="I10" s="2"/>
      <c r="J10" s="2"/>
    </row>
    <row r="11" spans="1:10" ht="18" x14ac:dyDescent="0.35">
      <c r="A11" s="2" t="s">
        <v>49</v>
      </c>
      <c r="B11" s="2" t="s">
        <v>50</v>
      </c>
      <c r="C11" s="2"/>
      <c r="D11" s="2" t="str">
        <f>IF(A11="","",B11&amp;" ("&amp;IF(C11="","","\textit{"&amp;C11&amp;"}, ")&amp;A11&amp;")")</f>
        <v>Demanda Industrial en Transmisión (DIT)</v>
      </c>
      <c r="E11" s="2"/>
      <c r="F11" s="2" t="s">
        <v>24</v>
      </c>
      <c r="G11" s="2"/>
      <c r="H11" s="2"/>
      <c r="I11" s="2"/>
      <c r="J11" s="2"/>
    </row>
    <row r="12" spans="1:10" ht="18" x14ac:dyDescent="0.35">
      <c r="A12" s="2" t="s">
        <v>98</v>
      </c>
      <c r="B12" s="2" t="s">
        <v>99</v>
      </c>
      <c r="C12" s="2"/>
      <c r="D12" s="2" t="str">
        <f>IF(A12="","",B12&amp;" ("&amp;IF(C12="","","\textit{"&amp;C12&amp;"}, ")&amp;A12&amp;")")</f>
        <v>Punto de Rocío (DPT)</v>
      </c>
      <c r="E12" s="2" t="s">
        <v>24</v>
      </c>
      <c r="F12" s="2"/>
      <c r="G12" s="2"/>
      <c r="H12" s="2"/>
      <c r="I12" s="2"/>
      <c r="J12" s="2"/>
    </row>
    <row r="13" spans="1:10" ht="18" x14ac:dyDescent="0.35">
      <c r="A13" s="2" t="s">
        <v>45</v>
      </c>
      <c r="B13" s="2" t="s">
        <v>46</v>
      </c>
      <c r="C13" s="2"/>
      <c r="D13" s="2" t="str">
        <f>IF(A13="","",B13&amp;" ("&amp;IF(C13="","","\textit{"&amp;C13&amp;"}, ")&amp;A13&amp;")")</f>
        <v>Gran Demanda en Baja Tensión (GDBT)</v>
      </c>
      <c r="E13" s="2"/>
      <c r="F13" s="2" t="s">
        <v>24</v>
      </c>
      <c r="G13" s="2"/>
      <c r="H13" s="2"/>
      <c r="I13" s="2"/>
      <c r="J13" s="2"/>
    </row>
    <row r="14" spans="1:10" ht="18" x14ac:dyDescent="0.35">
      <c r="A14" s="2" t="s">
        <v>55</v>
      </c>
      <c r="B14" s="2" t="s">
        <v>56</v>
      </c>
      <c r="C14" s="2"/>
      <c r="D14" s="2" t="str">
        <f>IF(A14="","",B14&amp;" ("&amp;IF(C14="","","\textit{"&amp;C14&amp;"}, ")&amp;A14&amp;")")</f>
        <v>gases de efecto invernadero (GEI)</v>
      </c>
      <c r="E14" s="2"/>
      <c r="F14" s="2" t="s">
        <v>24</v>
      </c>
      <c r="G14" s="2"/>
      <c r="H14" s="2"/>
      <c r="I14" s="2"/>
      <c r="J14" s="2"/>
    </row>
    <row r="15" spans="1:10" ht="36" x14ac:dyDescent="0.35">
      <c r="A15" s="2" t="s">
        <v>10</v>
      </c>
      <c r="B15" s="2" t="s">
        <v>11</v>
      </c>
      <c r="C15" s="2" t="s">
        <v>12</v>
      </c>
      <c r="D15" s="2" t="str">
        <f>IF(A15="","",B15&amp;" ("&amp;IF(C15="","","\textit{"&amp;C15&amp;"}, ")&amp;A15&amp;")")</f>
        <v>Insituto de Redes de Energía Global (\textit{Global Energy Network Insitute}, GENI)</v>
      </c>
      <c r="E15" s="2"/>
      <c r="F15" s="2" t="s">
        <v>24</v>
      </c>
      <c r="G15" s="2"/>
      <c r="H15" s="2"/>
      <c r="I15" s="2"/>
      <c r="J15" s="2"/>
    </row>
    <row r="16" spans="1:10" ht="18" x14ac:dyDescent="0.35">
      <c r="A16" s="2" t="s">
        <v>71</v>
      </c>
      <c r="B16" s="2" t="s">
        <v>72</v>
      </c>
      <c r="C16" s="2" t="s">
        <v>80</v>
      </c>
      <c r="D16" s="2" t="str">
        <f>IF(A16="","",B16&amp;" ("&amp;IF(C16="","","\textit{"&amp;C16&amp;"}, ")&amp;A16&amp;")")</f>
        <v>modelo de mezcla gaussiana (\textit{Gaussian Mixture Model}, GMM)</v>
      </c>
      <c r="E16" s="2" t="s">
        <v>24</v>
      </c>
      <c r="F16" s="2" t="s">
        <v>24</v>
      </c>
      <c r="G16" s="2"/>
      <c r="H16" s="2"/>
      <c r="I16" s="2"/>
      <c r="J16" s="2"/>
    </row>
    <row r="17" spans="1:10" ht="18" x14ac:dyDescent="0.35">
      <c r="A17" s="2" t="s">
        <v>84</v>
      </c>
      <c r="B17" s="2" t="s">
        <v>85</v>
      </c>
      <c r="C17" s="2" t="s">
        <v>86</v>
      </c>
      <c r="D17" s="2" t="str">
        <f>IF(A17="","",B17&amp;" ("&amp;IF(C17="","","\textit{"&amp;C17&amp;"}, ")&amp;A17&amp;")")</f>
        <v>regresión de procesos gaussianos (\textit{Gaussian Process Regression}, GPR)</v>
      </c>
      <c r="E17" s="2"/>
      <c r="F17" s="2" t="s">
        <v>24</v>
      </c>
      <c r="G17" s="2"/>
      <c r="H17" s="2"/>
      <c r="I17" s="2"/>
      <c r="J17" s="2"/>
    </row>
    <row r="18" spans="1:10" ht="18" x14ac:dyDescent="0.35">
      <c r="A18" s="2" t="s">
        <v>75</v>
      </c>
      <c r="B18" s="2" t="s">
        <v>82</v>
      </c>
      <c r="C18" s="2" t="s">
        <v>83</v>
      </c>
      <c r="D18" s="2" t="str">
        <f>IF(A18="","",B18&amp;" ("&amp;IF(C18="","","\textit{"&amp;C18&amp;"}, ")&amp;A18&amp;")")</f>
        <v>unidad recurrente con puertas (\textit{Gated Recurrent Unit}, GRU)</v>
      </c>
      <c r="E18" s="2"/>
      <c r="F18" s="2" t="s">
        <v>24</v>
      </c>
      <c r="G18" s="2"/>
      <c r="H18" s="2"/>
      <c r="I18" s="2"/>
      <c r="J18" s="2"/>
    </row>
    <row r="19" spans="1:10" ht="18" x14ac:dyDescent="0.35">
      <c r="A19" s="2" t="s">
        <v>57</v>
      </c>
      <c r="B19" s="2" t="s">
        <v>58</v>
      </c>
      <c r="C19" s="2"/>
      <c r="D19" s="2" t="str">
        <f>IF(A19="","",B19&amp;" ("&amp;IF(C19="","","\textit{"&amp;C19&amp;"}, ")&amp;A19&amp;")")</f>
        <v>Gigavatios-hora (GWh)</v>
      </c>
      <c r="E19" s="2"/>
      <c r="F19" s="2" t="s">
        <v>24</v>
      </c>
      <c r="G19" s="2"/>
      <c r="H19" s="2"/>
      <c r="I19" s="2"/>
      <c r="J19" s="2"/>
    </row>
    <row r="20" spans="1:10" ht="18" x14ac:dyDescent="0.35">
      <c r="A20" s="2" t="s">
        <v>59</v>
      </c>
      <c r="B20" s="2" t="s">
        <v>60</v>
      </c>
      <c r="C20" s="2"/>
      <c r="D20" s="2" t="str">
        <f>IF(A20="","",B20&amp;" ("&amp;IF(C20="","","\textit{"&amp;C20&amp;"}, ")&amp;A20&amp;")")</f>
        <v>inteligencia artificial (IA)</v>
      </c>
      <c r="E20" s="2"/>
      <c r="F20" s="2" t="s">
        <v>24</v>
      </c>
      <c r="G20" s="2"/>
      <c r="H20" s="2"/>
      <c r="I20" s="2"/>
      <c r="J20" s="2"/>
    </row>
    <row r="21" spans="1:10" ht="36" x14ac:dyDescent="0.35">
      <c r="A21" s="2" t="s">
        <v>3</v>
      </c>
      <c r="B21" s="2" t="s">
        <v>4</v>
      </c>
      <c r="C21" s="2" t="s">
        <v>5</v>
      </c>
      <c r="D21" s="2" t="str">
        <f>IF(A21="","",B21&amp;" ("&amp;IF(C21="","","\textit{"&amp;C21&amp;"}, ")&amp;A21&amp;")")</f>
        <v>Grupo Intergubernamental de Expertos sobre el Cambio Climático (\textit{Intergovernmental Panel on Climate Change}, IPCC)</v>
      </c>
      <c r="E21" s="2"/>
      <c r="F21" s="2"/>
      <c r="G21" s="2"/>
      <c r="H21" s="2"/>
      <c r="I21" s="2"/>
      <c r="J21" s="2" t="s">
        <v>24</v>
      </c>
    </row>
    <row r="22" spans="1:10" ht="36" x14ac:dyDescent="0.35">
      <c r="A22" s="2" t="s">
        <v>18</v>
      </c>
      <c r="B22" s="2" t="s">
        <v>19</v>
      </c>
      <c r="C22" s="2" t="s">
        <v>20</v>
      </c>
      <c r="D22" s="2" t="str">
        <f>IF(A22="","",B22&amp;" ("&amp;IF(C22="","","\textit{"&amp;C22&amp;"}, ")&amp;A22&amp;")")</f>
        <v>Agencia Internacional de Energías Renovables (\textit{International Renewable Energy Agency}, IRENA)</v>
      </c>
      <c r="E22" s="2"/>
      <c r="F22" s="2" t="s">
        <v>24</v>
      </c>
      <c r="G22" s="2"/>
      <c r="H22" s="2"/>
      <c r="I22" s="2"/>
      <c r="J22" s="2"/>
    </row>
    <row r="23" spans="1:10" ht="18" x14ac:dyDescent="0.35">
      <c r="A23" s="2" t="s">
        <v>33</v>
      </c>
      <c r="B23" s="2" t="s">
        <v>34</v>
      </c>
      <c r="C23" s="2"/>
      <c r="D23" s="2" t="str">
        <f>IF(A23="","",B23&amp;" ("&amp;IF(C23="","","\textit{"&amp;C23&amp;"}, ")&amp;A23&amp;")")</f>
        <v>julios (J)</v>
      </c>
      <c r="E23" s="2"/>
      <c r="F23" s="2" t="s">
        <v>24</v>
      </c>
      <c r="G23" s="2"/>
      <c r="H23" s="2"/>
      <c r="I23" s="2"/>
      <c r="J23" s="2"/>
    </row>
    <row r="24" spans="1:10" ht="18" x14ac:dyDescent="0.35">
      <c r="A24" s="2" t="s">
        <v>94</v>
      </c>
      <c r="B24" s="2" t="s">
        <v>95</v>
      </c>
      <c r="C24" s="2"/>
      <c r="D24" s="2" t="str">
        <f>IF(A24="","",B24&amp;" ("&amp;IF(C24="","","\textit{"&amp;C24&amp;"}, ")&amp;A24&amp;")")</f>
        <v>kilómetros por hora (km/h)</v>
      </c>
      <c r="E24" s="2" t="s">
        <v>24</v>
      </c>
      <c r="F24" s="2"/>
      <c r="G24" s="2"/>
      <c r="H24" s="2"/>
      <c r="I24" s="2"/>
      <c r="J24" s="2"/>
    </row>
    <row r="25" spans="1:10" ht="18" x14ac:dyDescent="0.35">
      <c r="A25" s="2" t="s">
        <v>37</v>
      </c>
      <c r="B25" s="2" t="s">
        <v>38</v>
      </c>
      <c r="C25" s="2"/>
      <c r="D25" s="2" t="str">
        <f>IF(A25="","",B25&amp;" ("&amp;IF(C25="","","\textit{"&amp;C25&amp;"}, ")&amp;A25&amp;")")</f>
        <v>kilovatios (kW)</v>
      </c>
      <c r="E25" s="2"/>
      <c r="F25" s="2" t="s">
        <v>24</v>
      </c>
      <c r="G25" s="2"/>
      <c r="H25" s="2"/>
      <c r="I25" s="2"/>
      <c r="J25" s="2"/>
    </row>
    <row r="26" spans="1:10" ht="18" x14ac:dyDescent="0.35">
      <c r="A26" s="2" t="s">
        <v>35</v>
      </c>
      <c r="B26" s="2" t="s">
        <v>36</v>
      </c>
      <c r="C26" s="2"/>
      <c r="D26" s="2" t="str">
        <f>IF(A26="","",B26&amp;" ("&amp;IF(C26="","","\textit{"&amp;C26&amp;"}, ")&amp;A26&amp;")")</f>
        <v>kilovatio-hora (kWh)</v>
      </c>
      <c r="E26" s="2" t="s">
        <v>24</v>
      </c>
      <c r="F26" s="2" t="s">
        <v>24</v>
      </c>
      <c r="G26" s="2"/>
      <c r="H26" s="2"/>
      <c r="I26" s="2"/>
      <c r="J26" s="2"/>
    </row>
    <row r="27" spans="1:10" ht="18" x14ac:dyDescent="0.35">
      <c r="A27" s="2" t="s">
        <v>63</v>
      </c>
      <c r="B27" s="2" t="s">
        <v>64</v>
      </c>
      <c r="C27" s="2" t="s">
        <v>77</v>
      </c>
      <c r="D27" s="2" t="str">
        <f>IF(A27="","",B27&amp;" ("&amp;IF(C27="","","\textit{"&amp;C27&amp;"}, ")&amp;A27&amp;")")</f>
        <v>memoria a largo  y corto plazo (\textit{Long Short-Term Network}, LSTM)</v>
      </c>
      <c r="E27" s="2"/>
      <c r="F27" s="2" t="s">
        <v>24</v>
      </c>
      <c r="G27" s="2"/>
      <c r="H27" s="2"/>
      <c r="I27" s="2"/>
      <c r="J27" s="2"/>
    </row>
    <row r="28" spans="1:10" ht="18" x14ac:dyDescent="0.35">
      <c r="A28" s="2" t="s">
        <v>88</v>
      </c>
      <c r="B28" s="2" t="s">
        <v>89</v>
      </c>
      <c r="C28" s="2" t="s">
        <v>90</v>
      </c>
      <c r="D28" s="2" t="str">
        <f>IF(A28="","",B28&amp;" ("&amp;IF(C28="","","\textit{"&amp;C28&amp;"}, ")&amp;A28&amp;")")</f>
        <v>error absoluto medio (\textit{Mean Absolute Error}, MAE)</v>
      </c>
      <c r="E28" s="2" t="s">
        <v>24</v>
      </c>
      <c r="F28" s="2"/>
      <c r="G28" s="2"/>
      <c r="H28" s="2"/>
      <c r="I28" s="2"/>
      <c r="J28" s="2"/>
    </row>
    <row r="29" spans="1:10" ht="18" x14ac:dyDescent="0.35">
      <c r="A29" s="2" t="s">
        <v>28</v>
      </c>
      <c r="B29" s="2" t="s">
        <v>29</v>
      </c>
      <c r="C29" s="2"/>
      <c r="D29" s="2" t="str">
        <f>IF(A29="","",B29&amp;" ("&amp;IF(C29="","","\textit{"&amp;C29&amp;"}, ")&amp;A29&amp;")")</f>
        <v>Mercado Eléctrico Mayorista (MEM)</v>
      </c>
      <c r="E29" s="2"/>
      <c r="F29" s="2" t="s">
        <v>24</v>
      </c>
      <c r="G29" s="2"/>
      <c r="H29" s="2" t="s">
        <v>24</v>
      </c>
      <c r="I29" s="2" t="s">
        <v>24</v>
      </c>
      <c r="J29" s="2"/>
    </row>
    <row r="30" spans="1:10" ht="36" x14ac:dyDescent="0.35">
      <c r="A30" s="2" t="s">
        <v>65</v>
      </c>
      <c r="B30" s="2" t="s">
        <v>66</v>
      </c>
      <c r="C30" s="2" t="s">
        <v>78</v>
      </c>
      <c r="D30" s="2" t="str">
        <f>IF(A30="","",B30&amp;" ("&amp;IF(C30="","","\textit{"&amp;C30&amp;"}, ")&amp;A30&amp;")")</f>
        <v>optimizador de serpiente mejorado con estrategias múltiples (\textit{Multi-Strategy Improved Snake Optimizer}, MISO)</v>
      </c>
      <c r="E30" s="2"/>
      <c r="F30" s="2" t="s">
        <v>24</v>
      </c>
      <c r="G30" s="2"/>
      <c r="H30" s="2"/>
      <c r="I30" s="2"/>
      <c r="J30" s="2"/>
    </row>
    <row r="31" spans="1:10" ht="18" x14ac:dyDescent="0.35">
      <c r="A31" s="2" t="s">
        <v>96</v>
      </c>
      <c r="B31" s="2" t="s">
        <v>97</v>
      </c>
      <c r="C31" s="2"/>
      <c r="D31" s="2" t="str">
        <f>IF(A31="","",B31&amp;" ("&amp;IF(C31="","","\textit{"&amp;C31&amp;"}, ")&amp;A31&amp;")")</f>
        <v>milímetros (mm)</v>
      </c>
      <c r="E31" s="2" t="s">
        <v>24</v>
      </c>
      <c r="F31" s="2"/>
      <c r="G31" s="2"/>
      <c r="H31" s="2"/>
      <c r="I31" s="2"/>
      <c r="J31" s="2"/>
    </row>
    <row r="32" spans="1:10" ht="18" x14ac:dyDescent="0.35">
      <c r="A32" s="2" t="s">
        <v>39</v>
      </c>
      <c r="B32" s="2" t="s">
        <v>40</v>
      </c>
      <c r="C32" s="2"/>
      <c r="D32" s="2" t="str">
        <f>IF(A32="","",B32&amp;" ("&amp;IF(C32="","","\textit{"&amp;C32&amp;"}, ")&amp;A32&amp;")")</f>
        <v>megavatios (MW)</v>
      </c>
      <c r="E32" s="2"/>
      <c r="F32" s="2" t="s">
        <v>24</v>
      </c>
      <c r="G32" s="2"/>
      <c r="H32" s="2"/>
      <c r="I32" s="2"/>
      <c r="J32" s="2"/>
    </row>
    <row r="33" spans="1:10" ht="18" x14ac:dyDescent="0.35">
      <c r="A33" s="2" t="s">
        <v>43</v>
      </c>
      <c r="B33" s="2" t="s">
        <v>44</v>
      </c>
      <c r="C33" s="2"/>
      <c r="D33" s="2" t="str">
        <f>IF(A33="","",B33&amp;" ("&amp;IF(C33="","","\textit{"&amp;C33&amp;"}, ")&amp;A33&amp;")")</f>
        <v>Pequeña Demanda en Baja Tensión (PDBT)</v>
      </c>
      <c r="E33" s="2"/>
      <c r="F33" s="2" t="s">
        <v>24</v>
      </c>
      <c r="G33" s="2"/>
      <c r="H33" s="2"/>
      <c r="I33" s="2"/>
      <c r="J33" s="2"/>
    </row>
    <row r="34" spans="1:10" ht="18" x14ac:dyDescent="0.35">
      <c r="A34" s="2" t="s">
        <v>67</v>
      </c>
      <c r="B34" s="2" t="s">
        <v>68</v>
      </c>
      <c r="C34" s="2"/>
      <c r="D34" s="2" t="str">
        <f>IF(A34="","",B34&amp;" ("&amp;IF(C34="","","\textit{"&amp;C34&amp;"}, ")&amp;A34&amp;")")</f>
        <v>coeficiente de determinación (R2)</v>
      </c>
      <c r="E34" s="2" t="s">
        <v>24</v>
      </c>
      <c r="F34" s="2" t="s">
        <v>24</v>
      </c>
      <c r="G34" s="2"/>
      <c r="H34" s="2"/>
      <c r="I34" s="2"/>
      <c r="J34" s="2"/>
    </row>
    <row r="35" spans="1:10" ht="18" x14ac:dyDescent="0.35">
      <c r="A35" s="2" t="s">
        <v>69</v>
      </c>
      <c r="B35" s="2" t="s">
        <v>70</v>
      </c>
      <c r="C35" s="2" t="s">
        <v>79</v>
      </c>
      <c r="D35" s="2" t="str">
        <f>IF(A35="","",B35&amp;" ("&amp;IF(C35="","","\textit{"&amp;C35&amp;"}, ")&amp;A35&amp;")")</f>
        <v>raíz del error cuadrático medio (\textit{Root Mean Square Error}, RMSE)</v>
      </c>
      <c r="E35" s="2" t="s">
        <v>24</v>
      </c>
      <c r="F35" s="2" t="s">
        <v>24</v>
      </c>
      <c r="G35" s="2"/>
      <c r="H35" s="2"/>
      <c r="I35" s="2"/>
      <c r="J35" s="2"/>
    </row>
    <row r="36" spans="1:10" ht="18" x14ac:dyDescent="0.35">
      <c r="A36" s="2" t="s">
        <v>73</v>
      </c>
      <c r="B36" s="2" t="s">
        <v>74</v>
      </c>
      <c r="C36" s="2" t="s">
        <v>81</v>
      </c>
      <c r="D36" s="2" t="str">
        <f>IF(A36="","",B36&amp;" ("&amp;IF(C36="","","\textit{"&amp;C36&amp;"}, ")&amp;A36&amp;")")</f>
        <v>redes neuronales recurrentes (\textit{Recurrent Neural Network}, RNN)</v>
      </c>
      <c r="E36" s="2"/>
      <c r="F36" s="2" t="s">
        <v>24</v>
      </c>
      <c r="G36" s="2"/>
      <c r="H36" s="2"/>
      <c r="I36" s="2"/>
      <c r="J36" s="2"/>
    </row>
    <row r="37" spans="1:10" ht="18" x14ac:dyDescent="0.35">
      <c r="A37" s="2" t="s">
        <v>7</v>
      </c>
      <c r="B37" s="2" t="s">
        <v>8</v>
      </c>
      <c r="C37" s="2"/>
      <c r="D37" s="2" t="str">
        <f>IF(A37="","",B37&amp;" ("&amp;IF(C37="","","\textit{"&amp;C37&amp;"}, ")&amp;A37&amp;")")</f>
        <v>Secretaría de Energía (SENER)</v>
      </c>
      <c r="E37" s="2"/>
      <c r="F37" s="2" t="s">
        <v>24</v>
      </c>
      <c r="G37" s="2"/>
      <c r="H37" s="2"/>
      <c r="I37" s="2" t="s">
        <v>24</v>
      </c>
      <c r="J37" s="2" t="s">
        <v>24</v>
      </c>
    </row>
    <row r="38" spans="1:10" ht="18" x14ac:dyDescent="0.35">
      <c r="A38" s="2" t="s">
        <v>51</v>
      </c>
      <c r="B38" s="2" t="s">
        <v>52</v>
      </c>
      <c r="C38" s="2"/>
      <c r="D38" s="2" t="str">
        <f>IF(A38="","",B38&amp;" ("&amp;IF(C38="","","\textit{"&amp;C38&amp;"}, ")&amp;A38&amp;")")</f>
        <v>Suministrador de Servicios Básicos (SSB)</v>
      </c>
      <c r="E38" s="2"/>
      <c r="F38" s="2" t="s">
        <v>24</v>
      </c>
      <c r="G38" s="2"/>
      <c r="H38" s="2"/>
      <c r="I38" s="2"/>
      <c r="J38" s="2"/>
    </row>
    <row r="39" spans="1:10" ht="36" x14ac:dyDescent="0.35">
      <c r="A39" s="2" t="s">
        <v>53</v>
      </c>
      <c r="B39" s="2" t="s">
        <v>54</v>
      </c>
      <c r="C39" s="2"/>
      <c r="D39" s="2" t="str">
        <f>IF(A39="","",B39&amp;" ("&amp;IF(C39="","","\textit{"&amp;C39&amp;"}, ")&amp;A39&amp;")")</f>
        <v>Suministrador de Servicios Calificados (SSC)</v>
      </c>
      <c r="E39" s="2"/>
      <c r="F39" s="2" t="s">
        <v>24</v>
      </c>
      <c r="G39" s="2"/>
      <c r="H39" s="2"/>
      <c r="I39" s="2"/>
      <c r="J39" s="2"/>
    </row>
    <row r="40" spans="1:10" ht="18" x14ac:dyDescent="0.35">
      <c r="A40" s="2" t="s">
        <v>100</v>
      </c>
      <c r="B40" s="2" t="s">
        <v>101</v>
      </c>
      <c r="C40" s="2"/>
      <c r="D40" s="2" t="str">
        <f t="shared" ref="D40:D41" si="0">IF(A40="","",B40&amp;" ("&amp;IF(C40="","","\textit{"&amp;C40&amp;"}, ")&amp;A40&amp;")")</f>
        <v>Calinski-Harabasz (CH)</v>
      </c>
      <c r="E40" s="2" t="s">
        <v>24</v>
      </c>
      <c r="F40" s="2"/>
      <c r="G40" s="2"/>
      <c r="H40" s="2"/>
      <c r="I40" s="2"/>
      <c r="J40" s="2"/>
    </row>
    <row r="41" spans="1:10" ht="18" x14ac:dyDescent="0.35">
      <c r="A41" s="2" t="s">
        <v>102</v>
      </c>
      <c r="B41" s="2" t="s">
        <v>103</v>
      </c>
      <c r="C41" s="2" t="s">
        <v>104</v>
      </c>
      <c r="D41" s="2" t="str">
        <f t="shared" si="0"/>
        <v>criterio de información bayesiano (\textit{Bayesian Information Criterion}, BIC)</v>
      </c>
      <c r="E41" s="2" t="s">
        <v>24</v>
      </c>
      <c r="F41" s="2"/>
      <c r="G41" s="2"/>
      <c r="H41" s="2"/>
      <c r="I41" s="2"/>
      <c r="J4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Lissette Gutiérrez Díaz</dc:creator>
  <cp:lastModifiedBy>Claudia Lissette Gutiérrez Díaz</cp:lastModifiedBy>
  <dcterms:created xsi:type="dcterms:W3CDTF">2025-07-26T03:23:35Z</dcterms:created>
  <dcterms:modified xsi:type="dcterms:W3CDTF">2025-07-31T06:48:31Z</dcterms:modified>
</cp:coreProperties>
</file>