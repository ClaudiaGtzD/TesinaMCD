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d99136cfcc98d8/Documentos/FCFM/TesinaMCD/"/>
    </mc:Choice>
  </mc:AlternateContent>
  <xr:revisionPtr revIDLastSave="0" documentId="8_{2CC885B3-956C-488D-9E94-59FB59269DC8}" xr6:coauthVersionLast="47" xr6:coauthVersionMax="47" xr10:uidLastSave="{00000000-0000-0000-0000-000000000000}"/>
  <bookViews>
    <workbookView xWindow="-120" yWindow="-120" windowWidth="29040" windowHeight="15840" xr2:uid="{DC38A5A1-1A6C-4E47-BAC8-AF068BAB4C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L5" i="1"/>
  <c r="L4" i="1"/>
  <c r="L3" i="1"/>
  <c r="L2" i="1"/>
  <c r="K6" i="1"/>
  <c r="K4" i="1"/>
  <c r="K3" i="1"/>
  <c r="K2" i="1"/>
  <c r="J6" i="1"/>
  <c r="J5" i="1"/>
  <c r="J3" i="1"/>
  <c r="J2" i="1"/>
  <c r="I6" i="1"/>
  <c r="I5" i="1"/>
  <c r="I4" i="1"/>
  <c r="I2" i="1"/>
</calcChain>
</file>

<file path=xl/sharedStrings.xml><?xml version="1.0" encoding="utf-8"?>
<sst xmlns="http://schemas.openxmlformats.org/spreadsheetml/2006/main" count="8" uniqueCount="8">
  <si>
    <t>Light GBM</t>
  </si>
  <si>
    <t>RMSE</t>
  </si>
  <si>
    <t>MAE</t>
  </si>
  <si>
    <t>R2</t>
  </si>
  <si>
    <t>Random Forest Completo 0.10</t>
  </si>
  <si>
    <t>CT-NET Completo 0.35</t>
  </si>
  <si>
    <t>CNN-BiLSTM GMM 0.10</t>
  </si>
  <si>
    <t>QR-CNN-BiGRU-Attention Kmeans 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</si>
</sst>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CD03D-895C-4785-9FBC-A4A85BA72F0B}">
  <dimension ref="A1:L6"/>
  <sheetViews>
    <sheetView tabSelected="1" workbookViewId="0">
      <selection activeCell="H20" sqref="H20"/>
    </sheetView>
  </sheetViews>
  <sheetFormatPr defaultRowHeight="15" x14ac:dyDescent="0.25"/>
  <cols>
    <col min="1" max="1" width="37.5703125" customWidth="1"/>
  </cols>
  <sheetData>
    <row r="1" spans="1:12" x14ac:dyDescent="0.25">
      <c r="B1" t="s">
        <v>1</v>
      </c>
      <c r="C1" t="s">
        <v>2</v>
      </c>
      <c r="D1" t="s">
        <v>3</v>
      </c>
    </row>
    <row r="2" spans="1:12" x14ac:dyDescent="0.25">
      <c r="A2" t="s">
        <v>0</v>
      </c>
      <c r="B2">
        <v>2.13</v>
      </c>
      <c r="C2">
        <v>1.05</v>
      </c>
      <c r="D2">
        <v>0.97</v>
      </c>
      <c r="I2">
        <f>TTEST($B$3:$D$3,B2:D2,2,1)</f>
        <v>0.86516002750735443</v>
      </c>
      <c r="J2">
        <f>TTEST($B$4:$D$4,B2:D2,2,1)</f>
        <v>0.23026805865686084</v>
      </c>
      <c r="K2">
        <f>TTEST($B$5:$D$5,B2:D2,2,1)</f>
        <v>0.23951882855786066</v>
      </c>
      <c r="L2">
        <f>TTEST($B$6:$D$6,B2:D2,2,1)</f>
        <v>0.22432383239528741</v>
      </c>
    </row>
    <row r="3" spans="1:12" x14ac:dyDescent="0.25">
      <c r="A3" t="s">
        <v>4</v>
      </c>
      <c r="B3">
        <v>2.21</v>
      </c>
      <c r="C3">
        <v>0.95</v>
      </c>
      <c r="D3">
        <v>0.96</v>
      </c>
      <c r="H3">
        <f>TTEST($B$2:$D$2,B3:D3,2,1)</f>
        <v>0.86516002750735521</v>
      </c>
      <c r="J3">
        <f>TTEST($B$4:$D$4,B3:D3,2,1)</f>
        <v>0.2011182091552921</v>
      </c>
      <c r="K3">
        <f>TTEST($B$5:$D$5,B3:D3,2,1)</f>
        <v>0.23680460639798107</v>
      </c>
      <c r="L3">
        <f>TTEST($B$6:$D$6,B3:D3,2,1)</f>
        <v>0.22068362287224597</v>
      </c>
    </row>
    <row r="4" spans="1:12" x14ac:dyDescent="0.25">
      <c r="A4" t="s">
        <v>5</v>
      </c>
      <c r="B4">
        <v>2.77</v>
      </c>
      <c r="C4">
        <v>1.44</v>
      </c>
      <c r="D4">
        <v>0.94</v>
      </c>
      <c r="H4">
        <f>TTEST($B$2:$D$2,B4:D4,2,1)</f>
        <v>0.23026805865686084</v>
      </c>
      <c r="I4">
        <f>TTEST($B$3:$D$3,B4:D4,2,1)</f>
        <v>0.2011182091552921</v>
      </c>
      <c r="K4">
        <f>TTEST($B$5:$D$5,B4:D4,2,1)</f>
        <v>0.24172013388265623</v>
      </c>
      <c r="L4">
        <f>TTEST($B$6:$D$6,B4:D4,2,1)</f>
        <v>0.22437171155191549</v>
      </c>
    </row>
    <row r="5" spans="1:12" x14ac:dyDescent="0.25">
      <c r="A5" t="s">
        <v>6</v>
      </c>
      <c r="B5">
        <v>7.12</v>
      </c>
      <c r="C5">
        <v>5.01</v>
      </c>
      <c r="D5">
        <v>0.44</v>
      </c>
      <c r="H5">
        <f>TTEST($B$2:$D$2,B5:D5,2,1)</f>
        <v>0.23951882855786066</v>
      </c>
      <c r="I5">
        <f>TTEST($B$3:$D$3,B5:D5,2,1)</f>
        <v>0.23680460639798107</v>
      </c>
      <c r="J5">
        <f>TTEST($B$4:$D$4,B5:D5,2,1)</f>
        <v>0.24172013388265623</v>
      </c>
      <c r="L5">
        <f>TTEST($B$6:$D$6,B5:D5,2,1)</f>
        <v>0.29069904788032952</v>
      </c>
    </row>
    <row r="6" spans="1:12" x14ac:dyDescent="0.25">
      <c r="A6" t="s">
        <v>7</v>
      </c>
      <c r="B6">
        <v>5.95</v>
      </c>
      <c r="C6">
        <v>4.03</v>
      </c>
      <c r="D6">
        <v>0.69</v>
      </c>
      <c r="H6">
        <f>TTEST($B$2:$D$2,B6:D6,2,1)</f>
        <v>0.22432383239528741</v>
      </c>
      <c r="I6">
        <f>TTEST($B$3:$D$3,B6:D6,2,1)</f>
        <v>0.22068362287224597</v>
      </c>
      <c r="J6">
        <f>TTEST($B$4:$D$4,B6:D6,2,1)</f>
        <v>0.22437171155191549</v>
      </c>
      <c r="K6">
        <f>TTEST($B$5:$D$5,B6:D6,2,1)</f>
        <v>0.29069904788032952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Lissette Gutiérrez Díaz</dc:creator>
  <cp:lastModifiedBy>Claudia Lissette Gutiérrez Díaz</cp:lastModifiedBy>
  <dcterms:created xsi:type="dcterms:W3CDTF">2025-04-02T19:05:53Z</dcterms:created>
  <dcterms:modified xsi:type="dcterms:W3CDTF">2025-04-02T20:01:01Z</dcterms:modified>
</cp:coreProperties>
</file>