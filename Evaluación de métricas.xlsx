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d99136cfcc98d8/Documentos/FCFM/TesinaMCD/"/>
    </mc:Choice>
  </mc:AlternateContent>
  <xr:revisionPtr revIDLastSave="185" documentId="13_ncr:1_{FA4D00DD-8E8B-4DA4-8141-A139AE06F642}" xr6:coauthVersionLast="47" xr6:coauthVersionMax="47" xr10:uidLastSave="{157C48A6-D3AE-4E37-BC67-2EE22FB50008}"/>
  <bookViews>
    <workbookView xWindow="28680" yWindow="-120" windowWidth="29040" windowHeight="15840" activeTab="9" xr2:uid="{D195F59A-6A96-4642-803F-E5122D0BFA4A}"/>
  </bookViews>
  <sheets>
    <sheet name="Sheet1" sheetId="1" r:id="rId1"/>
    <sheet name="Sheet2" sheetId="2" r:id="rId2"/>
    <sheet name="Sheet10" sheetId="10" r:id="rId3"/>
    <sheet name="Sheet3" sheetId="3" r:id="rId4"/>
    <sheet name="Sheet4" sheetId="4" r:id="rId5"/>
    <sheet name="Sheet9" sheetId="9" r:id="rId6"/>
    <sheet name="Sheet5" sheetId="5" r:id="rId7"/>
    <sheet name="Sheet7" sheetId="7" r:id="rId8"/>
    <sheet name="Sheet8" sheetId="8" r:id="rId9"/>
    <sheet name="Sheet6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D18" i="4"/>
  <c r="E18" i="4"/>
  <c r="F18" i="4"/>
  <c r="G18" i="4"/>
  <c r="H18" i="4"/>
  <c r="I18" i="4"/>
  <c r="J18" i="4"/>
  <c r="K18" i="4"/>
  <c r="L18" i="4"/>
  <c r="M18" i="4"/>
  <c r="B18" i="4"/>
  <c r="F5" i="9"/>
  <c r="E5" i="9"/>
  <c r="E4" i="9"/>
  <c r="E3" i="9"/>
  <c r="D4" i="9"/>
  <c r="D3" i="9"/>
  <c r="D2" i="9"/>
  <c r="R5" i="5"/>
  <c r="R4" i="5"/>
  <c r="R3" i="5"/>
  <c r="O5" i="5"/>
  <c r="O4" i="5"/>
  <c r="O3" i="5"/>
  <c r="L5" i="5"/>
  <c r="L4" i="5"/>
  <c r="L3" i="5"/>
  <c r="O4" i="4"/>
  <c r="W14" i="4"/>
  <c r="W13" i="4"/>
  <c r="W12" i="4"/>
  <c r="S14" i="4"/>
  <c r="S13" i="4"/>
  <c r="S12" i="4"/>
  <c r="O14" i="4"/>
  <c r="O13" i="4"/>
  <c r="O12" i="4"/>
  <c r="W6" i="4"/>
  <c r="W5" i="4"/>
  <c r="W4" i="4"/>
  <c r="S6" i="4"/>
  <c r="S5" i="4"/>
  <c r="S4" i="4"/>
  <c r="O6" i="4"/>
  <c r="O5" i="4"/>
  <c r="L19" i="3"/>
  <c r="L18" i="3"/>
  <c r="L17" i="3"/>
  <c r="L16" i="3"/>
  <c r="L15" i="3"/>
  <c r="L14" i="3"/>
  <c r="M12" i="3"/>
  <c r="M11" i="3"/>
  <c r="M10" i="3"/>
  <c r="M9" i="3"/>
  <c r="M8" i="3"/>
  <c r="M7" i="3"/>
  <c r="M6" i="3"/>
  <c r="M5" i="3"/>
  <c r="M4" i="3"/>
  <c r="G16" i="3"/>
  <c r="G15" i="3"/>
  <c r="G14" i="3"/>
  <c r="G13" i="3"/>
  <c r="G12" i="3"/>
  <c r="J16" i="3"/>
  <c r="J15" i="3"/>
  <c r="J14" i="3"/>
  <c r="J13" i="3"/>
  <c r="J12" i="3"/>
  <c r="J8" i="3"/>
  <c r="J7" i="3"/>
  <c r="J6" i="3"/>
  <c r="J5" i="3"/>
  <c r="J4" i="3"/>
  <c r="G8" i="3"/>
  <c r="G7" i="3"/>
  <c r="G6" i="3"/>
  <c r="G5" i="3"/>
  <c r="G4" i="3"/>
  <c r="D16" i="3"/>
  <c r="D15" i="3"/>
  <c r="D14" i="3"/>
  <c r="D13" i="3"/>
  <c r="D12" i="3"/>
  <c r="D5" i="3"/>
  <c r="D6" i="3"/>
  <c r="D7" i="3"/>
  <c r="D8" i="3"/>
  <c r="D4" i="3"/>
  <c r="J32" i="2"/>
  <c r="J31" i="2"/>
  <c r="J30" i="2"/>
  <c r="P4" i="1"/>
  <c r="P5" i="1"/>
  <c r="P6" i="1"/>
  <c r="P7" i="1"/>
  <c r="P8" i="1"/>
  <c r="M4" i="1"/>
  <c r="M5" i="1"/>
  <c r="M6" i="1"/>
  <c r="M7" i="1"/>
  <c r="M8" i="1"/>
  <c r="J4" i="1"/>
  <c r="J5" i="1"/>
  <c r="J6" i="1"/>
  <c r="J7" i="1"/>
  <c r="J8" i="1"/>
  <c r="G4" i="1"/>
  <c r="G5" i="1"/>
  <c r="G6" i="1"/>
  <c r="G7" i="1"/>
  <c r="G8" i="1"/>
  <c r="D4" i="1"/>
  <c r="D5" i="1"/>
  <c r="D6" i="1"/>
  <c r="D7" i="1"/>
  <c r="D8" i="1"/>
  <c r="P3" i="1"/>
  <c r="M3" i="1"/>
  <c r="J3" i="1"/>
  <c r="G3" i="1"/>
  <c r="D3" i="1"/>
</calcChain>
</file>

<file path=xl/sharedStrings.xml><?xml version="1.0" encoding="utf-8"?>
<sst xmlns="http://schemas.openxmlformats.org/spreadsheetml/2006/main" count="202" uniqueCount="58">
  <si>
    <t>Light GBM</t>
  </si>
  <si>
    <t>Random Forest</t>
  </si>
  <si>
    <t>CTNET</t>
  </si>
  <si>
    <t>CNN-BiLSTM</t>
  </si>
  <si>
    <t>QR-CNN-BiGRU-Attention</t>
  </si>
  <si>
    <t>Entrenamiento</t>
  </si>
  <si>
    <t>Prueba</t>
  </si>
  <si>
    <t>Completo 0.10</t>
  </si>
  <si>
    <t>Completo 0.35</t>
  </si>
  <si>
    <t>GMM 0.10</t>
  </si>
  <si>
    <t>GMM 0.35</t>
  </si>
  <si>
    <t>Dif %</t>
  </si>
  <si>
    <t>RMSE</t>
  </si>
  <si>
    <t>MAE</t>
  </si>
  <si>
    <r>
      <t>R</t>
    </r>
    <r>
      <rPr>
        <vertAlign val="superscript"/>
        <sz val="11"/>
        <color theme="1"/>
        <rFont val="Aptos Narrow"/>
        <family val="2"/>
        <scheme val="minor"/>
      </rPr>
      <t>2</t>
    </r>
  </si>
  <si>
    <t>Comp. 0.10</t>
  </si>
  <si>
    <t>Comp. 0.35</t>
  </si>
  <si>
    <t>T-Test</t>
  </si>
  <si>
    <t>R2</t>
  </si>
  <si>
    <t>Soleado</t>
  </si>
  <si>
    <t>Nublado</t>
  </si>
  <si>
    <t>Promedio</t>
  </si>
  <si>
    <t>RMSE Sol</t>
  </si>
  <si>
    <t>RMSE Prom</t>
  </si>
  <si>
    <t>MAE Sol</t>
  </si>
  <si>
    <t>MAE Nub</t>
  </si>
  <si>
    <t>MAE Prom</t>
  </si>
  <si>
    <t>R2 Sol</t>
  </si>
  <si>
    <t>R2 Nub</t>
  </si>
  <si>
    <t>R2 Prom</t>
  </si>
  <si>
    <t>RMSE Nub</t>
  </si>
  <si>
    <t>Sol.</t>
  </si>
  <si>
    <t>Nub.</t>
  </si>
  <si>
    <t>Lluv.</t>
  </si>
  <si>
    <t>Prom</t>
  </si>
  <si>
    <t>Naive</t>
  </si>
  <si>
    <t>Energía</t>
  </si>
  <si>
    <t>Concepto</t>
  </si>
  <si>
    <t>Definición</t>
  </si>
  <si>
    <t>Energía eléctrica</t>
  </si>
  <si>
    <t>Capacida para realizar un trabajo, se mide en julios (J).</t>
  </si>
  <si>
    <t>Electrotecnia</t>
  </si>
  <si>
    <t>Energía resultante del movimiento de partículas cargadas, como electrones, a través de un conductor, que se manifiesta como corriente eléctrica y se puede transformar en otras formas de energía como luz, calor o movimiento. Se mide en kilovatio-hora(kWh).
La fuente de energía primaria se obtiene directamente de la naturaleza, por ejemplo del carbón, gas natural, energía eólica, biomasa o energía solar; mientras que la fuente de energía secundaria se obtiene a partir de una fuente primaria a través de su transformación, como por ejemplo una central hidroeléctrica.</t>
  </si>
  <si>
    <t>soleymani2023comparative</t>
  </si>
  <si>
    <t>Comparative Analysis of Machine Learning Algorithms for Solar Irradiance Forecasting in Smart Grids</t>
  </si>
  <si>
    <t>Munsif2023</t>
  </si>
  <si>
    <t>CT-NET: A Novel Convolutional Transformer-Based Network for Short-Term Solar Energy Forecasting Using Climatic Information</t>
  </si>
  <si>
    <t>Guo2024</t>
  </si>
  <si>
    <t>Photovoltaic Power Prediction Based on Hybrid Deep Learning Networks and Meteorological Data</t>
  </si>
  <si>
    <t>Wang2024</t>
  </si>
  <si>
    <t>Forecasting a Short-Term Photovoltaic Power Model Based on Improved Snake Optimization, Convolutional Neural Network, and Bidirectional Long Short-Term Memory Network</t>
  </si>
  <si>
    <t>CT-NET</t>
  </si>
  <si>
    <t>LightGBM</t>
  </si>
  <si>
    <t>CNN-BiLSTM Soleado</t>
  </si>
  <si>
    <t>CNN-BiLSTM Nublado</t>
  </si>
  <si>
    <t>R²</t>
  </si>
  <si>
    <t>K-Medias 0.35</t>
  </si>
  <si>
    <t>K-Medias 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</si>
</sst>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color rgb="FFCCCCCC"/>
      <name val="Consolas"/>
      <family val="3"/>
    </font>
    <font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9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1" fontId="0" fillId="0" borderId="0" xfId="0" applyNumberFormat="1"/>
    <xf numFmtId="22" fontId="0" fillId="0" borderId="0" xfId="0" applyNumberFormat="1"/>
    <xf numFmtId="22" fontId="3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4" fillId="0" borderId="0" xfId="0" applyFont="1" applyAlignment="1">
      <alignment vertic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horizont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Sheet1!$B$1</c:f>
              <c:strCache>
                <c:ptCount val="1"/>
                <c:pt idx="0">
                  <c:v>LightGBM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Sheet1!$D$3:$D$8</c:f>
              <c:numCache>
                <c:formatCode>0%</c:formatCode>
                <c:ptCount val="6"/>
                <c:pt idx="0">
                  <c:v>7.0122516411383229E-2</c:v>
                </c:pt>
                <c:pt idx="1">
                  <c:v>0.32670737058406263</c:v>
                </c:pt>
                <c:pt idx="2">
                  <c:v>0.31805234078900702</c:v>
                </c:pt>
                <c:pt idx="3">
                  <c:v>6.5734621376007052E-2</c:v>
                </c:pt>
                <c:pt idx="4">
                  <c:v>3.7766161599484427E-2</c:v>
                </c:pt>
                <c:pt idx="5">
                  <c:v>0.11231620155894273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CD-4AB1-8FA2-E3859020CCD0}"/>
            </c:ext>
          </c:extLst>
        </c:ser>
        <c:ser>
          <c:idx val="5"/>
          <c:order val="5"/>
          <c:tx>
            <c:strRef>
              <c:f>Sheet1!$E$1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Sheet1!$G$3:$G$8</c:f>
              <c:numCache>
                <c:formatCode>0%</c:formatCode>
                <c:ptCount val="6"/>
                <c:pt idx="0">
                  <c:v>0.38457372015273483</c:v>
                </c:pt>
                <c:pt idx="1">
                  <c:v>0.31601955663342807</c:v>
                </c:pt>
                <c:pt idx="2">
                  <c:v>0.18934686381159205</c:v>
                </c:pt>
                <c:pt idx="3">
                  <c:v>0.47543382139820989</c:v>
                </c:pt>
                <c:pt idx="4">
                  <c:v>8.5754354891843354E-2</c:v>
                </c:pt>
                <c:pt idx="5">
                  <c:v>0.42015084914615164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CD-4AB1-8FA2-E3859020CCD0}"/>
            </c:ext>
          </c:extLst>
        </c:ser>
        <c:ser>
          <c:idx val="8"/>
          <c:order val="8"/>
          <c:tx>
            <c:strRef>
              <c:f>Sheet1!$H$1</c:f>
              <c:strCache>
                <c:ptCount val="1"/>
                <c:pt idx="0">
                  <c:v>CT-NET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Sheet1!$J$3:$J$8</c:f>
              <c:numCache>
                <c:formatCode>0%</c:formatCode>
                <c:ptCount val="6"/>
                <c:pt idx="0">
                  <c:v>0.15838266323240724</c:v>
                </c:pt>
                <c:pt idx="1">
                  <c:v>0.13992449201269586</c:v>
                </c:pt>
                <c:pt idx="2">
                  <c:v>0.12550060050430889</c:v>
                </c:pt>
                <c:pt idx="3">
                  <c:v>0.11179371608441602</c:v>
                </c:pt>
                <c:pt idx="4">
                  <c:v>6.0874381780259501E-2</c:v>
                </c:pt>
                <c:pt idx="5">
                  <c:v>0.27556106273640579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CD-4AB1-8FA2-E3859020CCD0}"/>
            </c:ext>
          </c:extLst>
        </c:ser>
        <c:ser>
          <c:idx val="11"/>
          <c:order val="11"/>
          <c:tx>
            <c:strRef>
              <c:f>Sheet1!$K$1</c:f>
              <c:strCache>
                <c:ptCount val="1"/>
                <c:pt idx="0">
                  <c:v>CNN-BiLSTM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Sheet1!$M$3:$M$8</c:f>
              <c:numCache>
                <c:formatCode>0%</c:formatCode>
                <c:ptCount val="6"/>
                <c:pt idx="0">
                  <c:v>9.9326929358187099E-2</c:v>
                </c:pt>
                <c:pt idx="1">
                  <c:v>2.3715018712115121E-2</c:v>
                </c:pt>
                <c:pt idx="2">
                  <c:v>0.25910817447325241</c:v>
                </c:pt>
                <c:pt idx="3">
                  <c:v>0.21071109230448681</c:v>
                </c:pt>
                <c:pt idx="4">
                  <c:v>0.16515959338117869</c:v>
                </c:pt>
                <c:pt idx="5">
                  <c:v>0.26712919781683375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8CD-4AB1-8FA2-E3859020CCD0}"/>
            </c:ext>
          </c:extLst>
        </c:ser>
        <c:ser>
          <c:idx val="14"/>
          <c:order val="14"/>
          <c:tx>
            <c:strRef>
              <c:f>Sheet1!$N$1</c:f>
              <c:strCache>
                <c:ptCount val="1"/>
                <c:pt idx="0">
                  <c:v>QR-CNN-BiGRU-Attention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9.75501437066541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E09-4024-B2C0-E01A503169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Sheet1!$P$3:$P$8</c:f>
              <c:numCache>
                <c:formatCode>0%</c:formatCode>
                <c:ptCount val="6"/>
                <c:pt idx="0">
                  <c:v>0.10147359302467218</c:v>
                </c:pt>
                <c:pt idx="1">
                  <c:v>-1.0827096281033732E-2</c:v>
                </c:pt>
                <c:pt idx="2">
                  <c:v>0.21961199193073333</c:v>
                </c:pt>
                <c:pt idx="3">
                  <c:v>0.18841977421555933</c:v>
                </c:pt>
                <c:pt idx="4">
                  <c:v>0.10071370509579447</c:v>
                </c:pt>
                <c:pt idx="5">
                  <c:v>0.20190958409568416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8CD-4AB1-8FA2-E3859020CC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9552224"/>
        <c:axId val="1089522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Sheet1!$B$1:$B$2</c15:sqref>
                        </c15:formulaRef>
                      </c:ext>
                    </c:extLst>
                    <c:strCache>
                      <c:ptCount val="2"/>
                      <c:pt idx="0">
                        <c:v>LightGBM</c:v>
                      </c:pt>
                      <c:pt idx="1">
                        <c:v>Entrenamiento</c:v>
                      </c:pt>
                    </c:strCache>
                  </c:strRef>
                </c:tx>
                <c:spPr>
                  <a:solidFill>
                    <a:schemeClr val="accent4">
                      <a:shade val="3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Sheet1!$B$3:$B$8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1.9887237339985571</c:v>
                      </c:pt>
                      <c:pt idx="1">
                        <c:v>1.5870583525916091</c:v>
                      </c:pt>
                      <c:pt idx="2">
                        <c:v>1.7436159480948865</c:v>
                      </c:pt>
                      <c:pt idx="3">
                        <c:v>2.1244172771434888</c:v>
                      </c:pt>
                      <c:pt idx="4">
                        <c:v>1.9757191393323466</c:v>
                      </c:pt>
                      <c:pt idx="5">
                        <c:v>2.0612945425492066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8CD-4AB1-8FA2-E3859020CCD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Sheet1!$C$1:$C$2</c15:sqref>
                        </c15:formulaRef>
                      </c:ext>
                    </c:extLst>
                    <c:strCache>
                      <c:ptCount val="2"/>
                      <c:pt idx="0">
                        <c:v>LightGBM</c:v>
                      </c:pt>
                      <c:pt idx="1">
                        <c:v>Prueba</c:v>
                      </c:pt>
                    </c:strCache>
                  </c:strRef>
                </c:tx>
                <c:spPr>
                  <a:solidFill>
                    <a:schemeClr val="accent4">
                      <a:shade val="4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Sheet1!$C$3:$C$8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2.128178046673578</c:v>
                      </c:pt>
                      <c:pt idx="1">
                        <c:v>2.105562013930288</c:v>
                      </c:pt>
                      <c:pt idx="2">
                        <c:v>2.2981770818235088</c:v>
                      </c:pt>
                      <c:pt idx="3">
                        <c:v>2.2640650425011639</c:v>
                      </c:pt>
                      <c:pt idx="4">
                        <c:v>2.0503344676235664</c:v>
                      </c:pt>
                      <c:pt idx="5">
                        <c:v>2.2928113158625121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8CD-4AB1-8FA2-E3859020CC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Sheet1!$E$1:$E$2</c15:sqref>
                        </c15:formulaRef>
                      </c:ext>
                    </c:extLst>
                    <c:strCache>
                      <c:ptCount val="2"/>
                      <c:pt idx="0">
                        <c:v>Random Forest</c:v>
                      </c:pt>
                      <c:pt idx="1">
                        <c:v>Entrenamiento</c:v>
                      </c:pt>
                    </c:strCache>
                  </c:strRef>
                </c:tx>
                <c:spPr>
                  <a:solidFill>
                    <a:schemeClr val="accent4">
                      <a:shade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Sheet1!$E$3:$E$8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1.594417961952719</c:v>
                      </c:pt>
                      <c:pt idx="1">
                        <c:v>1.710516148705199</c:v>
                      </c:pt>
                      <c:pt idx="2">
                        <c:v>1.9634900492651945</c:v>
                      </c:pt>
                      <c:pt idx="3">
                        <c:v>1.7067521559365857</c:v>
                      </c:pt>
                      <c:pt idx="4">
                        <c:v>2.002799260602238</c:v>
                      </c:pt>
                      <c:pt idx="5">
                        <c:v>1.6730287770054719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CD-4AB1-8FA2-E3859020CCD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Sheet1!$F$1:$F$2</c15:sqref>
                        </c15:formulaRef>
                      </c:ext>
                    </c:extLst>
                    <c:strCache>
                      <c:ptCount val="2"/>
                      <c:pt idx="0">
                        <c:v>Random Forest</c:v>
                      </c:pt>
                      <c:pt idx="1">
                        <c:v>Prueba</c:v>
                      </c:pt>
                    </c:strCache>
                  </c:strRef>
                </c:tx>
                <c:spPr>
                  <a:solidFill>
                    <a:schemeClr val="accent4">
                      <a:shade val="7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2.207589209059218</c:v>
                      </c:pt>
                      <c:pt idx="1">
                        <c:v>2.2510727036333349</c:v>
                      </c:pt>
                      <c:pt idx="2">
                        <c:v>2.3352707322188273</c:v>
                      </c:pt>
                      <c:pt idx="3">
                        <c:v>2.5181998556131502</c:v>
                      </c:pt>
                      <c:pt idx="4">
                        <c:v>2.1745480191730437</c:v>
                      </c:pt>
                      <c:pt idx="5">
                        <c:v>2.3759532383102684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8CD-4AB1-8FA2-E3859020CCD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Sheet1!$H$1:$H$2</c15:sqref>
                        </c15:formulaRef>
                      </c:ext>
                    </c:extLst>
                    <c:strCache>
                      <c:ptCount val="2"/>
                      <c:pt idx="0">
                        <c:v>CT-NET</c:v>
                      </c:pt>
                      <c:pt idx="1">
                        <c:v>Entrenamiento</c:v>
                      </c:pt>
                    </c:strCache>
                  </c:strRef>
                </c:tx>
                <c:spPr>
                  <a:solidFill>
                    <a:schemeClr val="accent4">
                      <a:shade val="91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Sheet1!$H$3:$H$8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2.299080184445454</c:v>
                      </c:pt>
                      <c:pt idx="1">
                        <c:v>2.4292416388685178</c:v>
                      </c:pt>
                      <c:pt idx="2">
                        <c:v>5.3643245083897453</c:v>
                      </c:pt>
                      <c:pt idx="3">
                        <c:v>4.5365614474840026</c:v>
                      </c:pt>
                      <c:pt idx="4">
                        <c:v>8.9841977087365787</c:v>
                      </c:pt>
                      <c:pt idx="5">
                        <c:v>4.4976822240307177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8CD-4AB1-8FA2-E3859020CCD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Sheet1!$I$1:$I$2</c15:sqref>
                        </c15:formulaRef>
                      </c:ext>
                    </c:extLst>
                    <c:strCache>
                      <c:ptCount val="2"/>
                      <c:pt idx="0">
                        <c:v>CT-NET</c:v>
                      </c:pt>
                      <c:pt idx="1">
                        <c:v>Prueba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Sheet1!$I$3:$I$8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2.663214627042779</c:v>
                      </c:pt>
                      <c:pt idx="1">
                        <c:v>2.769152041163284</c:v>
                      </c:pt>
                      <c:pt idx="2">
                        <c:v>6.0375504554926405</c:v>
                      </c:pt>
                      <c:pt idx="3">
                        <c:v>5.0437205099435367</c:v>
                      </c:pt>
                      <c:pt idx="4">
                        <c:v>9.5311051900475423</c:v>
                      </c:pt>
                      <c:pt idx="5">
                        <c:v>5.7370683175352637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8CD-4AB1-8FA2-E3859020CCD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Sheet1!$K$1:$K$2</c15:sqref>
                        </c15:formulaRef>
                      </c:ext>
                    </c:extLst>
                    <c:strCache>
                      <c:ptCount val="2"/>
                      <c:pt idx="0">
                        <c:v>CNN-BiLSTM</c:v>
                      </c:pt>
                      <c:pt idx="1">
                        <c:v>Entrenamiento</c:v>
                      </c:pt>
                    </c:strCache>
                  </c:strRef>
                </c:tx>
                <c:spPr>
                  <a:solidFill>
                    <a:schemeClr val="accent4">
                      <a:tint val="8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Sheet1!$K$3:$K$8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2.5809627624071299</c:v>
                      </c:pt>
                      <c:pt idx="1">
                        <c:v>2.6813204696771979</c:v>
                      </c:pt>
                      <c:pt idx="2">
                        <c:v>9.023393284286648</c:v>
                      </c:pt>
                      <c:pt idx="3">
                        <c:v>4.5116882579246109</c:v>
                      </c:pt>
                      <c:pt idx="4">
                        <c:v>6.1123293543474562</c:v>
                      </c:pt>
                      <c:pt idx="5">
                        <c:v>5.0299476718913123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8CD-4AB1-8FA2-E3859020CCD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Sheet1!$L$1:$L$2</c15:sqref>
                        </c15:formulaRef>
                      </c:ext>
                    </c:extLst>
                    <c:strCache>
                      <c:ptCount val="2"/>
                      <c:pt idx="0">
                        <c:v>CNN-BiLSTM</c:v>
                      </c:pt>
                      <c:pt idx="1">
                        <c:v>Prueba</c:v>
                      </c:pt>
                    </c:strCache>
                  </c:strRef>
                </c:tx>
                <c:spPr>
                  <a:solidFill>
                    <a:schemeClr val="accent4">
                      <a:tint val="7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Sheet1!$L$3:$L$8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2.837321868384854</c:v>
                      </c:pt>
                      <c:pt idx="1">
                        <c:v>2.7449080347887702</c:v>
                      </c:pt>
                      <c:pt idx="2">
                        <c:v>11.361428245732366</c:v>
                      </c:pt>
                      <c:pt idx="3">
                        <c:v>5.4623510188892332</c:v>
                      </c:pt>
                      <c:pt idx="4">
                        <c:v>7.1218391851233251</c:v>
                      </c:pt>
                      <c:pt idx="5">
                        <c:v>6.3735935585442896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8CD-4AB1-8FA2-E3859020CCD0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Sheet1!$N$1:$N$2</c15:sqref>
                        </c15:formulaRef>
                      </c:ext>
                    </c:extLst>
                    <c:strCache>
                      <c:ptCount val="2"/>
                      <c:pt idx="0">
                        <c:v>QR-CNN-BiGRU-Attention</c:v>
                      </c:pt>
                      <c:pt idx="1">
                        <c:v>Entrenamiento</c:v>
                      </c:pt>
                    </c:strCache>
                  </c:strRef>
                </c:tx>
                <c:spPr>
                  <a:solidFill>
                    <a:schemeClr val="accent4">
                      <a:tint val="5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Sheet1!$N$3:$N$8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2.33168365426714</c:v>
                      </c:pt>
                      <c:pt idx="1">
                        <c:v>2.558081829146313</c:v>
                      </c:pt>
                      <c:pt idx="2">
                        <c:v>4.8826436757640463</c:v>
                      </c:pt>
                      <c:pt idx="3">
                        <c:v>4.003475148152952</c:v>
                      </c:pt>
                      <c:pt idx="4">
                        <c:v>5.7119784584046505</c:v>
                      </c:pt>
                      <c:pt idx="5">
                        <c:v>3.9889024160210353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8CD-4AB1-8FA2-E3859020CCD0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Sheet1!$O$1:$O$2</c15:sqref>
                        </c15:formulaRef>
                      </c:ext>
                    </c:extLst>
                    <c:strCache>
                      <c:ptCount val="2"/>
                      <c:pt idx="0">
                        <c:v>QR-CNN-BiGRU-Attention</c:v>
                      </c:pt>
                      <c:pt idx="1">
                        <c:v>Prueba</c:v>
                      </c:pt>
                    </c:strCache>
                  </c:strRef>
                </c:tx>
                <c:spPr>
                  <a:solidFill>
                    <a:schemeClr val="accent4">
                      <a:tint val="4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Sheet1!$A$3:$A$8</c15:sqref>
                        </c15:formulaRef>
                      </c:ext>
                    </c:extLst>
                    <c:strCache>
                      <c:ptCount val="6"/>
                      <c:pt idx="0">
                        <c:v>Completo 0.10</c:v>
                      </c:pt>
                      <c:pt idx="1">
                        <c:v>Completo 0.35</c:v>
                      </c:pt>
                      <c:pt idx="2">
                        <c:v>K-Medias 0.10</c:v>
                      </c:pt>
                      <c:pt idx="3">
                        <c:v>K-Medias 0.35</c:v>
                      </c:pt>
                      <c:pt idx="4">
                        <c:v>GMM 0.10</c:v>
                      </c:pt>
                      <c:pt idx="5">
                        <c:v>GMM 0.35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Sheet1!$O$3:$O$8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2.568287972462524</c:v>
                      </c:pt>
                      <c:pt idx="1">
                        <c:v>2.5303852308873829</c:v>
                      </c:pt>
                      <c:pt idx="2">
                        <c:v>5.9549307792865864</c:v>
                      </c:pt>
                      <c:pt idx="3">
                        <c:v>4.7578090316455341</c:v>
                      </c:pt>
                      <c:pt idx="4">
                        <c:v>6.2872529723779467</c:v>
                      </c:pt>
                      <c:pt idx="5">
                        <c:v>4.7943000438381125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8CD-4AB1-8FA2-E3859020CCD0}"/>
                  </c:ext>
                </c:extLst>
              </c15:ser>
            </c15:filteredBarSeries>
          </c:ext>
        </c:extLst>
      </c:barChart>
      <c:catAx>
        <c:axId val="108955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22464"/>
        <c:crosses val="autoZero"/>
        <c:auto val="1"/>
        <c:lblAlgn val="ctr"/>
        <c:lblOffset val="100"/>
        <c:noMultiLvlLbl val="0"/>
      </c:catAx>
      <c:valAx>
        <c:axId val="108952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5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Light GBM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Sheet2!$B$1:$G$2</c:f>
              <c:multiLvlStrCache>
                <c:ptCount val="6"/>
                <c:lvl>
                  <c:pt idx="0">
                    <c:v>RMSE</c:v>
                  </c:pt>
                  <c:pt idx="1">
                    <c:v>MAE</c:v>
                  </c:pt>
                  <c:pt idx="2">
                    <c:v>R2</c:v>
                  </c:pt>
                  <c:pt idx="3">
                    <c:v>RMSE</c:v>
                  </c:pt>
                  <c:pt idx="4">
                    <c:v>MAE</c:v>
                  </c:pt>
                  <c:pt idx="5">
                    <c:v>R2</c:v>
                  </c:pt>
                </c:lvl>
                <c:lvl>
                  <c:pt idx="0">
                    <c:v>Completo 0.10</c:v>
                  </c:pt>
                  <c:pt idx="3">
                    <c:v>Completo 0.35</c:v>
                  </c:pt>
                </c:lvl>
              </c:multiLvlStrCache>
            </c:multiLvlStrRef>
          </c:cat>
          <c:val>
            <c:numRef>
              <c:f>Sheet2!$B$3:$G$3</c:f>
              <c:numCache>
                <c:formatCode>General</c:formatCode>
                <c:ptCount val="6"/>
                <c:pt idx="0">
                  <c:v>2.128178046673578</c:v>
                </c:pt>
                <c:pt idx="1">
                  <c:v>1.0494413632082391</c:v>
                </c:pt>
                <c:pt idx="2">
                  <c:v>0.96628285341274633</c:v>
                </c:pt>
                <c:pt idx="3">
                  <c:v>2.105562013930288</c:v>
                </c:pt>
                <c:pt idx="4">
                  <c:v>0.95905123098281442</c:v>
                </c:pt>
                <c:pt idx="5">
                  <c:v>0.96699566624698974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7-4E04-84CE-CE502F8883BD}"/>
            </c:ext>
          </c:extLst>
        </c:ser>
        <c:ser>
          <c:idx val="1"/>
          <c:order val="1"/>
          <c:tx>
            <c:strRef>
              <c:f>Sheet2!$A$4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Sheet2!$B$1:$G$2</c:f>
              <c:multiLvlStrCache>
                <c:ptCount val="6"/>
                <c:lvl>
                  <c:pt idx="0">
                    <c:v>RMSE</c:v>
                  </c:pt>
                  <c:pt idx="1">
                    <c:v>MAE</c:v>
                  </c:pt>
                  <c:pt idx="2">
                    <c:v>R2</c:v>
                  </c:pt>
                  <c:pt idx="3">
                    <c:v>RMSE</c:v>
                  </c:pt>
                  <c:pt idx="4">
                    <c:v>MAE</c:v>
                  </c:pt>
                  <c:pt idx="5">
                    <c:v>R2</c:v>
                  </c:pt>
                </c:lvl>
                <c:lvl>
                  <c:pt idx="0">
                    <c:v>Completo 0.10</c:v>
                  </c:pt>
                  <c:pt idx="3">
                    <c:v>Completo 0.35</c:v>
                  </c:pt>
                </c:lvl>
              </c:multiLvlStrCache>
            </c:multiLvlStrRef>
          </c:cat>
          <c:val>
            <c:numRef>
              <c:f>Sheet2!$B$4:$G$4</c:f>
              <c:numCache>
                <c:formatCode>General</c:formatCode>
                <c:ptCount val="6"/>
                <c:pt idx="0">
                  <c:v>2.207589209059218</c:v>
                </c:pt>
                <c:pt idx="1">
                  <c:v>0.94907410659893265</c:v>
                </c:pt>
                <c:pt idx="2">
                  <c:v>0.9637196539076307</c:v>
                </c:pt>
                <c:pt idx="3">
                  <c:v>2.2510727036333349</c:v>
                </c:pt>
                <c:pt idx="4">
                  <c:v>0.90760134082901345</c:v>
                </c:pt>
                <c:pt idx="5">
                  <c:v>0.96227632975987243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7-4E04-84CE-CE502F8883BD}"/>
            </c:ext>
          </c:extLst>
        </c:ser>
        <c:ser>
          <c:idx val="2"/>
          <c:order val="2"/>
          <c:tx>
            <c:strRef>
              <c:f>Sheet2!$A$5</c:f>
              <c:strCache>
                <c:ptCount val="1"/>
                <c:pt idx="0">
                  <c:v>CTNET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Sheet2!$B$1:$G$2</c:f>
              <c:multiLvlStrCache>
                <c:ptCount val="6"/>
                <c:lvl>
                  <c:pt idx="0">
                    <c:v>RMSE</c:v>
                  </c:pt>
                  <c:pt idx="1">
                    <c:v>MAE</c:v>
                  </c:pt>
                  <c:pt idx="2">
                    <c:v>R2</c:v>
                  </c:pt>
                  <c:pt idx="3">
                    <c:v>RMSE</c:v>
                  </c:pt>
                  <c:pt idx="4">
                    <c:v>MAE</c:v>
                  </c:pt>
                  <c:pt idx="5">
                    <c:v>R2</c:v>
                  </c:pt>
                </c:lvl>
                <c:lvl>
                  <c:pt idx="0">
                    <c:v>Completo 0.10</c:v>
                  </c:pt>
                  <c:pt idx="3">
                    <c:v>Completo 0.35</c:v>
                  </c:pt>
                </c:lvl>
              </c:multiLvlStrCache>
            </c:multiLvlStrRef>
          </c:cat>
          <c:val>
            <c:numRef>
              <c:f>Sheet2!$B$5:$G$5</c:f>
              <c:numCache>
                <c:formatCode>General</c:formatCode>
                <c:ptCount val="6"/>
                <c:pt idx="0">
                  <c:v>2.663214627042779</c:v>
                </c:pt>
                <c:pt idx="1">
                  <c:v>1.312878448217691</c:v>
                </c:pt>
                <c:pt idx="2">
                  <c:v>0.9468744235867097</c:v>
                </c:pt>
                <c:pt idx="3">
                  <c:v>2.769152041163284</c:v>
                </c:pt>
                <c:pt idx="4">
                  <c:v>1.4387964635510739</c:v>
                </c:pt>
                <c:pt idx="5">
                  <c:v>0.94256390259891798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17-4E04-84CE-CE502F8883BD}"/>
            </c:ext>
          </c:extLst>
        </c:ser>
        <c:ser>
          <c:idx val="3"/>
          <c:order val="3"/>
          <c:tx>
            <c:strRef>
              <c:f>Sheet2!$A$6</c:f>
              <c:strCache>
                <c:ptCount val="1"/>
                <c:pt idx="0">
                  <c:v>CNN-BiLSTM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Sheet2!$B$1:$G$2</c:f>
              <c:multiLvlStrCache>
                <c:ptCount val="6"/>
                <c:lvl>
                  <c:pt idx="0">
                    <c:v>RMSE</c:v>
                  </c:pt>
                  <c:pt idx="1">
                    <c:v>MAE</c:v>
                  </c:pt>
                  <c:pt idx="2">
                    <c:v>R2</c:v>
                  </c:pt>
                  <c:pt idx="3">
                    <c:v>RMSE</c:v>
                  </c:pt>
                  <c:pt idx="4">
                    <c:v>MAE</c:v>
                  </c:pt>
                  <c:pt idx="5">
                    <c:v>R2</c:v>
                  </c:pt>
                </c:lvl>
                <c:lvl>
                  <c:pt idx="0">
                    <c:v>Completo 0.10</c:v>
                  </c:pt>
                  <c:pt idx="3">
                    <c:v>Completo 0.35</c:v>
                  </c:pt>
                </c:lvl>
              </c:multiLvlStrCache>
            </c:multiLvlStrRef>
          </c:cat>
          <c:val>
            <c:numRef>
              <c:f>Sheet2!$B$6:$G$6</c:f>
              <c:numCache>
                <c:formatCode>General</c:formatCode>
                <c:ptCount val="6"/>
                <c:pt idx="0">
                  <c:v>2.837321868384854</c:v>
                </c:pt>
                <c:pt idx="1">
                  <c:v>1.461685608320521</c:v>
                </c:pt>
                <c:pt idx="2">
                  <c:v>0.93970121920264327</c:v>
                </c:pt>
                <c:pt idx="3">
                  <c:v>2.7449080347887702</c:v>
                </c:pt>
                <c:pt idx="4">
                  <c:v>1.399776304499085</c:v>
                </c:pt>
                <c:pt idx="5">
                  <c:v>0.94356520948612876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17-4E04-84CE-CE502F8883BD}"/>
            </c:ext>
          </c:extLst>
        </c:ser>
        <c:ser>
          <c:idx val="4"/>
          <c:order val="4"/>
          <c:tx>
            <c:strRef>
              <c:f>Sheet2!$A$7</c:f>
              <c:strCache>
                <c:ptCount val="1"/>
                <c:pt idx="0">
                  <c:v>QR-CNN-BiGRU-Attention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Sheet2!$B$1:$G$2</c:f>
              <c:multiLvlStrCache>
                <c:ptCount val="6"/>
                <c:lvl>
                  <c:pt idx="0">
                    <c:v>RMSE</c:v>
                  </c:pt>
                  <c:pt idx="1">
                    <c:v>MAE</c:v>
                  </c:pt>
                  <c:pt idx="2">
                    <c:v>R2</c:v>
                  </c:pt>
                  <c:pt idx="3">
                    <c:v>RMSE</c:v>
                  </c:pt>
                  <c:pt idx="4">
                    <c:v>MAE</c:v>
                  </c:pt>
                  <c:pt idx="5">
                    <c:v>R2</c:v>
                  </c:pt>
                </c:lvl>
                <c:lvl>
                  <c:pt idx="0">
                    <c:v>Completo 0.10</c:v>
                  </c:pt>
                  <c:pt idx="3">
                    <c:v>Completo 0.35</c:v>
                  </c:pt>
                </c:lvl>
              </c:multiLvlStrCache>
            </c:multiLvlStrRef>
          </c:cat>
          <c:val>
            <c:numRef>
              <c:f>Sheet2!$B$7:$G$7</c:f>
              <c:numCache>
                <c:formatCode>General</c:formatCode>
                <c:ptCount val="6"/>
                <c:pt idx="0">
                  <c:v>2.568287972462524</c:v>
                </c:pt>
                <c:pt idx="1">
                  <c:v>1.342753732703682</c:v>
                </c:pt>
                <c:pt idx="2">
                  <c:v>0.95059410668617905</c:v>
                </c:pt>
                <c:pt idx="3">
                  <c:v>2.5303852308873829</c:v>
                </c:pt>
                <c:pt idx="4">
                  <c:v>1.273678589060671</c:v>
                </c:pt>
                <c:pt idx="5">
                  <c:v>0.9520416085172777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17-4E04-84CE-CE502F8883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1488399"/>
        <c:axId val="1781479279"/>
      </c:barChart>
      <c:catAx>
        <c:axId val="178148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79279"/>
        <c:crosses val="autoZero"/>
        <c:auto val="1"/>
        <c:lblAlgn val="ctr"/>
        <c:lblOffset val="100"/>
        <c:noMultiLvlLbl val="0"/>
      </c:catAx>
      <c:valAx>
        <c:axId val="178147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8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Sheet2!$A$30</c:f>
              <c:strCache>
                <c:ptCount val="1"/>
                <c:pt idx="0">
                  <c:v>LightGBM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Sheet2!$B$28:$G$29</c:f>
              <c:multiLvlStrCache>
                <c:ptCount val="6"/>
                <c:lvl>
                  <c:pt idx="0">
                    <c:v>Comp. 0.10</c:v>
                  </c:pt>
                  <c:pt idx="1">
                    <c:v>Comp. 0.35</c:v>
                  </c:pt>
                  <c:pt idx="2">
                    <c:v>Comp. 0.10</c:v>
                  </c:pt>
                  <c:pt idx="3">
                    <c:v>Comp. 0.35</c:v>
                  </c:pt>
                  <c:pt idx="4">
                    <c:v>Comp. 0.10</c:v>
                  </c:pt>
                  <c:pt idx="5">
                    <c:v>Comp. 0.35</c:v>
                  </c:pt>
                </c:lvl>
                <c:lvl>
                  <c:pt idx="0">
                    <c:v>RMSE</c:v>
                  </c:pt>
                  <c:pt idx="2">
                    <c:v>MAE</c:v>
                  </c:pt>
                  <c:pt idx="4">
                    <c:v>R²</c:v>
                  </c:pt>
                </c:lvl>
              </c:multiLvlStrCache>
            </c:multiLvlStrRef>
          </c:cat>
          <c:val>
            <c:numRef>
              <c:f>Sheet2!$B$30:$G$30</c:f>
              <c:numCache>
                <c:formatCode>0.00</c:formatCode>
                <c:ptCount val="6"/>
                <c:pt idx="0">
                  <c:v>2.128178046673578</c:v>
                </c:pt>
                <c:pt idx="1">
                  <c:v>2.105562013930288</c:v>
                </c:pt>
                <c:pt idx="2">
                  <c:v>1.0494413632082391</c:v>
                </c:pt>
                <c:pt idx="3">
                  <c:v>0.95905123098281442</c:v>
                </c:pt>
                <c:pt idx="4">
                  <c:v>0.96628285341274633</c:v>
                </c:pt>
                <c:pt idx="5">
                  <c:v>0.96699566624698974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3-4B91-881E-4C8DF51DEF72}"/>
            </c:ext>
          </c:extLst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Sheet2!$B$28:$G$29</c:f>
              <c:multiLvlStrCache>
                <c:ptCount val="6"/>
                <c:lvl>
                  <c:pt idx="0">
                    <c:v>Comp. 0.10</c:v>
                  </c:pt>
                  <c:pt idx="1">
                    <c:v>Comp. 0.35</c:v>
                  </c:pt>
                  <c:pt idx="2">
                    <c:v>Comp. 0.10</c:v>
                  </c:pt>
                  <c:pt idx="3">
                    <c:v>Comp. 0.35</c:v>
                  </c:pt>
                  <c:pt idx="4">
                    <c:v>Comp. 0.10</c:v>
                  </c:pt>
                  <c:pt idx="5">
                    <c:v>Comp. 0.35</c:v>
                  </c:pt>
                </c:lvl>
                <c:lvl>
                  <c:pt idx="0">
                    <c:v>RMSE</c:v>
                  </c:pt>
                  <c:pt idx="2">
                    <c:v>MAE</c:v>
                  </c:pt>
                  <c:pt idx="4">
                    <c:v>R²</c:v>
                  </c:pt>
                </c:lvl>
              </c:multiLvlStrCache>
            </c:multiLvlStrRef>
          </c:cat>
          <c:val>
            <c:numRef>
              <c:f>Sheet2!$B$31:$G$31</c:f>
              <c:numCache>
                <c:formatCode>0.00</c:formatCode>
                <c:ptCount val="6"/>
                <c:pt idx="0">
                  <c:v>2.207589209059218</c:v>
                </c:pt>
                <c:pt idx="1">
                  <c:v>2.2510727036333349</c:v>
                </c:pt>
                <c:pt idx="2">
                  <c:v>0.94907410659893265</c:v>
                </c:pt>
                <c:pt idx="3">
                  <c:v>0.90760134082901345</c:v>
                </c:pt>
                <c:pt idx="4">
                  <c:v>0.9637196539076307</c:v>
                </c:pt>
                <c:pt idx="5">
                  <c:v>0.96227632975987243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3-4B91-881E-4C8DF51DEF72}"/>
            </c:ext>
          </c:extLst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CT-NET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Sheet2!$B$28:$G$29</c:f>
              <c:multiLvlStrCache>
                <c:ptCount val="6"/>
                <c:lvl>
                  <c:pt idx="0">
                    <c:v>Comp. 0.10</c:v>
                  </c:pt>
                  <c:pt idx="1">
                    <c:v>Comp. 0.35</c:v>
                  </c:pt>
                  <c:pt idx="2">
                    <c:v>Comp. 0.10</c:v>
                  </c:pt>
                  <c:pt idx="3">
                    <c:v>Comp. 0.35</c:v>
                  </c:pt>
                  <c:pt idx="4">
                    <c:v>Comp. 0.10</c:v>
                  </c:pt>
                  <c:pt idx="5">
                    <c:v>Comp. 0.35</c:v>
                  </c:pt>
                </c:lvl>
                <c:lvl>
                  <c:pt idx="0">
                    <c:v>RMSE</c:v>
                  </c:pt>
                  <c:pt idx="2">
                    <c:v>MAE</c:v>
                  </c:pt>
                  <c:pt idx="4">
                    <c:v>R²</c:v>
                  </c:pt>
                </c:lvl>
              </c:multiLvlStrCache>
            </c:multiLvlStrRef>
          </c:cat>
          <c:val>
            <c:numRef>
              <c:f>Sheet2!$B$32:$G$32</c:f>
              <c:numCache>
                <c:formatCode>0.00</c:formatCode>
                <c:ptCount val="6"/>
                <c:pt idx="0">
                  <c:v>2.663214627042779</c:v>
                </c:pt>
                <c:pt idx="1">
                  <c:v>2.769152041163284</c:v>
                </c:pt>
                <c:pt idx="2">
                  <c:v>1.312878448217691</c:v>
                </c:pt>
                <c:pt idx="3">
                  <c:v>1.4387964635510739</c:v>
                </c:pt>
                <c:pt idx="4">
                  <c:v>0.9468744235867097</c:v>
                </c:pt>
                <c:pt idx="5">
                  <c:v>0.94256390259891798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3-4B91-881E-4C8DF51DEF72}"/>
            </c:ext>
          </c:extLst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CNN-BiLSTM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Sheet2!$B$28:$G$29</c:f>
              <c:multiLvlStrCache>
                <c:ptCount val="6"/>
                <c:lvl>
                  <c:pt idx="0">
                    <c:v>Comp. 0.10</c:v>
                  </c:pt>
                  <c:pt idx="1">
                    <c:v>Comp. 0.35</c:v>
                  </c:pt>
                  <c:pt idx="2">
                    <c:v>Comp. 0.10</c:v>
                  </c:pt>
                  <c:pt idx="3">
                    <c:v>Comp. 0.35</c:v>
                  </c:pt>
                  <c:pt idx="4">
                    <c:v>Comp. 0.10</c:v>
                  </c:pt>
                  <c:pt idx="5">
                    <c:v>Comp. 0.35</c:v>
                  </c:pt>
                </c:lvl>
                <c:lvl>
                  <c:pt idx="0">
                    <c:v>RMSE</c:v>
                  </c:pt>
                  <c:pt idx="2">
                    <c:v>MAE</c:v>
                  </c:pt>
                  <c:pt idx="4">
                    <c:v>R²</c:v>
                  </c:pt>
                </c:lvl>
              </c:multiLvlStrCache>
            </c:multiLvlStrRef>
          </c:cat>
          <c:val>
            <c:numRef>
              <c:f>Sheet2!$B$33:$G$33</c:f>
              <c:numCache>
                <c:formatCode>0.00</c:formatCode>
                <c:ptCount val="6"/>
                <c:pt idx="0">
                  <c:v>2.837321868384854</c:v>
                </c:pt>
                <c:pt idx="1">
                  <c:v>2.7449080347887702</c:v>
                </c:pt>
                <c:pt idx="2">
                  <c:v>1.461685608320521</c:v>
                </c:pt>
                <c:pt idx="3">
                  <c:v>1.399776304499085</c:v>
                </c:pt>
                <c:pt idx="4">
                  <c:v>0.93970121920264327</c:v>
                </c:pt>
                <c:pt idx="5">
                  <c:v>0.94356520948612876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53-4B91-881E-4C8DF51DEF72}"/>
            </c:ext>
          </c:extLst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QR-CNN-BiGRU-Attention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Sheet2!$B$28:$G$29</c:f>
              <c:multiLvlStrCache>
                <c:ptCount val="6"/>
                <c:lvl>
                  <c:pt idx="0">
                    <c:v>Comp. 0.10</c:v>
                  </c:pt>
                  <c:pt idx="1">
                    <c:v>Comp. 0.35</c:v>
                  </c:pt>
                  <c:pt idx="2">
                    <c:v>Comp. 0.10</c:v>
                  </c:pt>
                  <c:pt idx="3">
                    <c:v>Comp. 0.35</c:v>
                  </c:pt>
                  <c:pt idx="4">
                    <c:v>Comp. 0.10</c:v>
                  </c:pt>
                  <c:pt idx="5">
                    <c:v>Comp. 0.35</c:v>
                  </c:pt>
                </c:lvl>
                <c:lvl>
                  <c:pt idx="0">
                    <c:v>RMSE</c:v>
                  </c:pt>
                  <c:pt idx="2">
                    <c:v>MAE</c:v>
                  </c:pt>
                  <c:pt idx="4">
                    <c:v>R²</c:v>
                  </c:pt>
                </c:lvl>
              </c:multiLvlStrCache>
            </c:multiLvlStrRef>
          </c:cat>
          <c:val>
            <c:numRef>
              <c:f>Sheet2!$B$34:$G$34</c:f>
              <c:numCache>
                <c:formatCode>0.00</c:formatCode>
                <c:ptCount val="6"/>
                <c:pt idx="0">
                  <c:v>2.568287972462524</c:v>
                </c:pt>
                <c:pt idx="1">
                  <c:v>2.5303852308873829</c:v>
                </c:pt>
                <c:pt idx="2">
                  <c:v>1.342753732703682</c:v>
                </c:pt>
                <c:pt idx="3">
                  <c:v>1.273678589060671</c:v>
                </c:pt>
                <c:pt idx="4">
                  <c:v>0.95059410668617905</c:v>
                </c:pt>
                <c:pt idx="5">
                  <c:v>0.9520416085172777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53-4B91-881E-4C8DF51DEF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81452879"/>
        <c:axId val="1781450959"/>
      </c:barChart>
      <c:catAx>
        <c:axId val="178145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50959"/>
        <c:crosses val="autoZero"/>
        <c:auto val="1"/>
        <c:lblAlgn val="ctr"/>
        <c:lblOffset val="100"/>
        <c:noMultiLvlLbl val="0"/>
      </c:catAx>
      <c:valAx>
        <c:axId val="1781450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crossAx val="178145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Sheet7!$A$4</c:f>
              <c:strCache>
                <c:ptCount val="1"/>
                <c:pt idx="0">
                  <c:v>LightGBM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Sheet7!$B$3:$D$3</c:f>
              <c:strCache>
                <c:ptCount val="3"/>
                <c:pt idx="0">
                  <c:v>RMSE</c:v>
                </c:pt>
                <c:pt idx="1">
                  <c:v>MAE</c:v>
                </c:pt>
                <c:pt idx="2">
                  <c:v>R²</c:v>
                </c:pt>
              </c:strCache>
            </c:strRef>
          </c:cat>
          <c:val>
            <c:numRef>
              <c:f>Sheet7!$B$4:$D$4</c:f>
              <c:numCache>
                <c:formatCode>0.00</c:formatCode>
                <c:ptCount val="3"/>
                <c:pt idx="0">
                  <c:v>2.128178046673578</c:v>
                </c:pt>
                <c:pt idx="1">
                  <c:v>1.0494413632082391</c:v>
                </c:pt>
                <c:pt idx="2">
                  <c:v>0.96628285341274633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0-467D-8338-A2905408454B}"/>
            </c:ext>
          </c:extLst>
        </c:ser>
        <c:ser>
          <c:idx val="1"/>
          <c:order val="1"/>
          <c:tx>
            <c:strRef>
              <c:f>Sheet7!$A$5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Sheet7!$B$3:$D$3</c:f>
              <c:strCache>
                <c:ptCount val="3"/>
                <c:pt idx="0">
                  <c:v>RMSE</c:v>
                </c:pt>
                <c:pt idx="1">
                  <c:v>MAE</c:v>
                </c:pt>
                <c:pt idx="2">
                  <c:v>R²</c:v>
                </c:pt>
              </c:strCache>
            </c:strRef>
          </c:cat>
          <c:val>
            <c:numRef>
              <c:f>Sheet7!$B$5:$D$5</c:f>
              <c:numCache>
                <c:formatCode>0.00</c:formatCode>
                <c:ptCount val="3"/>
                <c:pt idx="0">
                  <c:v>2.207589209059218</c:v>
                </c:pt>
                <c:pt idx="1">
                  <c:v>0.94907410659893265</c:v>
                </c:pt>
                <c:pt idx="2">
                  <c:v>0.9637196539076307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30-467D-8338-A2905408454B}"/>
            </c:ext>
          </c:extLst>
        </c:ser>
        <c:ser>
          <c:idx val="2"/>
          <c:order val="2"/>
          <c:tx>
            <c:strRef>
              <c:f>Sheet7!$A$6</c:f>
              <c:strCache>
                <c:ptCount val="1"/>
                <c:pt idx="0">
                  <c:v>CT-NET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Sheet7!$B$3:$D$3</c:f>
              <c:strCache>
                <c:ptCount val="3"/>
                <c:pt idx="0">
                  <c:v>RMSE</c:v>
                </c:pt>
                <c:pt idx="1">
                  <c:v>MAE</c:v>
                </c:pt>
                <c:pt idx="2">
                  <c:v>R²</c:v>
                </c:pt>
              </c:strCache>
            </c:strRef>
          </c:cat>
          <c:val>
            <c:numRef>
              <c:f>Sheet7!$B$6:$D$6</c:f>
              <c:numCache>
                <c:formatCode>0.00</c:formatCode>
                <c:ptCount val="3"/>
                <c:pt idx="0">
                  <c:v>2.663214627042779</c:v>
                </c:pt>
                <c:pt idx="1">
                  <c:v>1.312878448217691</c:v>
                </c:pt>
                <c:pt idx="2">
                  <c:v>0.9468744235867097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30-467D-8338-A2905408454B}"/>
            </c:ext>
          </c:extLst>
        </c:ser>
        <c:ser>
          <c:idx val="3"/>
          <c:order val="3"/>
          <c:tx>
            <c:strRef>
              <c:f>Sheet7!$A$7</c:f>
              <c:strCache>
                <c:ptCount val="1"/>
                <c:pt idx="0">
                  <c:v>CNN-BiLSTM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Sheet7!$B$3:$D$3</c:f>
              <c:strCache>
                <c:ptCount val="3"/>
                <c:pt idx="0">
                  <c:v>RMSE</c:v>
                </c:pt>
                <c:pt idx="1">
                  <c:v>MAE</c:v>
                </c:pt>
                <c:pt idx="2">
                  <c:v>R²</c:v>
                </c:pt>
              </c:strCache>
            </c:strRef>
          </c:cat>
          <c:val>
            <c:numRef>
              <c:f>Sheet7!$B$7:$D$7</c:f>
              <c:numCache>
                <c:formatCode>0.00</c:formatCode>
                <c:ptCount val="3"/>
                <c:pt idx="0">
                  <c:v>2.837321868384854</c:v>
                </c:pt>
                <c:pt idx="1">
                  <c:v>1.461685608320521</c:v>
                </c:pt>
                <c:pt idx="2">
                  <c:v>0.93970121920264327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30-467D-8338-A2905408454B}"/>
            </c:ext>
          </c:extLst>
        </c:ser>
        <c:ser>
          <c:idx val="4"/>
          <c:order val="4"/>
          <c:tx>
            <c:strRef>
              <c:f>Sheet7!$A$8</c:f>
              <c:strCache>
                <c:ptCount val="1"/>
                <c:pt idx="0">
                  <c:v>QR-CNN-BiGRU-Attention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Sheet7!$B$3:$D$3</c:f>
              <c:strCache>
                <c:ptCount val="3"/>
                <c:pt idx="0">
                  <c:v>RMSE</c:v>
                </c:pt>
                <c:pt idx="1">
                  <c:v>MAE</c:v>
                </c:pt>
                <c:pt idx="2">
                  <c:v>R²</c:v>
                </c:pt>
              </c:strCache>
            </c:strRef>
          </c:cat>
          <c:val>
            <c:numRef>
              <c:f>Sheet7!$B$8:$D$8</c:f>
              <c:numCache>
                <c:formatCode>0.00</c:formatCode>
                <c:ptCount val="3"/>
                <c:pt idx="0">
                  <c:v>2.568287972462524</c:v>
                </c:pt>
                <c:pt idx="1">
                  <c:v>1.342753732703682</c:v>
                </c:pt>
                <c:pt idx="2">
                  <c:v>0.95059410668617905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30-467D-8338-A29054084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2730511"/>
        <c:axId val="1702731471"/>
      </c:barChart>
      <c:catAx>
        <c:axId val="170273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731471"/>
        <c:crosses val="autoZero"/>
        <c:auto val="1"/>
        <c:lblAlgn val="ctr"/>
        <c:lblOffset val="100"/>
        <c:noMultiLvlLbl val="0"/>
      </c:catAx>
      <c:valAx>
        <c:axId val="170273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0273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Sheet6!$E$1</c:f>
              <c:strCache>
                <c:ptCount val="1"/>
                <c:pt idx="0">
                  <c:v>Naive</c:v>
                </c:pt>
              </c:strCache>
            </c:strRef>
          </c:tx>
          <c:spPr>
            <a:solidFill>
              <a:schemeClr val="accent1"/>
            </a:solidFill>
            <a:ln w="34925">
              <a:solidFill>
                <a:srgbClr val="FF0000"/>
              </a:solidFill>
            </a:ln>
            <a:effectLst/>
          </c:spPr>
          <c:invertIfNegative val="0"/>
          <c:cat>
            <c:strRef>
              <c:f>Sheet6!$C$2:$C$7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Sheet6!$E$2:$E$7</c:f>
              <c:numCache>
                <c:formatCode>General</c:formatCode>
                <c:ptCount val="6"/>
                <c:pt idx="0">
                  <c:v>4.5197021295551201</c:v>
                </c:pt>
                <c:pt idx="1">
                  <c:v>4.5197021295551183</c:v>
                </c:pt>
                <c:pt idx="2">
                  <c:v>7.8820958553246259</c:v>
                </c:pt>
                <c:pt idx="3">
                  <c:v>8.3502835858179676</c:v>
                </c:pt>
                <c:pt idx="4">
                  <c:v>8.4700113001793103</c:v>
                </c:pt>
                <c:pt idx="5">
                  <c:v>7.4542098677794399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F-47C6-9695-2FAFCA4DE01B}"/>
            </c:ext>
          </c:extLst>
        </c:ser>
        <c:ser>
          <c:idx val="1"/>
          <c:order val="1"/>
          <c:tx>
            <c:strRef>
              <c:f>Sheet6!$F$1</c:f>
              <c:strCache>
                <c:ptCount val="1"/>
                <c:pt idx="0">
                  <c:v>LightGBM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Sheet6!$C$2:$C$7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Sheet6!$F$2:$F$7</c:f>
              <c:numCache>
                <c:formatCode>General</c:formatCode>
                <c:ptCount val="6"/>
                <c:pt idx="0">
                  <c:v>2.1281780466735798</c:v>
                </c:pt>
                <c:pt idx="1">
                  <c:v>2.105562013930288</c:v>
                </c:pt>
                <c:pt idx="2">
                  <c:v>2.2981770818235088</c:v>
                </c:pt>
                <c:pt idx="3">
                  <c:v>2.2640650425011639</c:v>
                </c:pt>
                <c:pt idx="4">
                  <c:v>2.0503344676235664</c:v>
                </c:pt>
                <c:pt idx="5">
                  <c:v>2.2928113158625121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EF-47C6-9695-2FAFCA4DE01B}"/>
            </c:ext>
          </c:extLst>
        </c:ser>
        <c:ser>
          <c:idx val="3"/>
          <c:order val="2"/>
          <c:tx>
            <c:strRef>
              <c:f>Sheet6!$G$1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/>
          </c:spPr>
          <c:invertIfNegative val="0"/>
          <c:cat>
            <c:strRef>
              <c:f>Sheet6!$C$2:$C$7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Sheet6!$G$2:$G$7</c:f>
              <c:numCache>
                <c:formatCode>General</c:formatCode>
                <c:ptCount val="6"/>
                <c:pt idx="0">
                  <c:v>2.207589209059218</c:v>
                </c:pt>
                <c:pt idx="1">
                  <c:v>2.2510727036333349</c:v>
                </c:pt>
                <c:pt idx="2">
                  <c:v>2.3352707322188273</c:v>
                </c:pt>
                <c:pt idx="3">
                  <c:v>2.5181998556131502</c:v>
                </c:pt>
                <c:pt idx="4">
                  <c:v>2.1745480191730437</c:v>
                </c:pt>
                <c:pt idx="5">
                  <c:v>2.3759532383102684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EF-47C6-9695-2FAFCA4DE01B}"/>
            </c:ext>
          </c:extLst>
        </c:ser>
        <c:ser>
          <c:idx val="2"/>
          <c:order val="3"/>
          <c:tx>
            <c:strRef>
              <c:f>Sheet6!$H$1</c:f>
              <c:strCache>
                <c:ptCount val="1"/>
                <c:pt idx="0">
                  <c:v>CT-NET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Sheet6!$C$2:$C$7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Sheet6!$H$2:$H$7</c:f>
              <c:numCache>
                <c:formatCode>General</c:formatCode>
                <c:ptCount val="6"/>
                <c:pt idx="0">
                  <c:v>2.663214627042779</c:v>
                </c:pt>
                <c:pt idx="1">
                  <c:v>2.769152041163284</c:v>
                </c:pt>
                <c:pt idx="2">
                  <c:v>6.0375504554926405</c:v>
                </c:pt>
                <c:pt idx="3">
                  <c:v>5.0437205099435367</c:v>
                </c:pt>
                <c:pt idx="4">
                  <c:v>9.5311051900475423</c:v>
                </c:pt>
                <c:pt idx="5">
                  <c:v>5.7370683175352637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EF-47C6-9695-2FAFCA4DE01B}"/>
            </c:ext>
          </c:extLst>
        </c:ser>
        <c:ser>
          <c:idx val="4"/>
          <c:order val="4"/>
          <c:tx>
            <c:strRef>
              <c:f>Sheet6!$I$1</c:f>
              <c:strCache>
                <c:ptCount val="1"/>
                <c:pt idx="0">
                  <c:v>CNN-BiLSTM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Sheet6!$C$2:$C$7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Sheet6!$I$2:$I$7</c:f>
              <c:numCache>
                <c:formatCode>General</c:formatCode>
                <c:ptCount val="6"/>
                <c:pt idx="0">
                  <c:v>2.837321868384854</c:v>
                </c:pt>
                <c:pt idx="1">
                  <c:v>2.7449080347887702</c:v>
                </c:pt>
                <c:pt idx="2">
                  <c:v>11.361428245732366</c:v>
                </c:pt>
                <c:pt idx="3">
                  <c:v>5.4623510188892332</c:v>
                </c:pt>
                <c:pt idx="4">
                  <c:v>7.1218391851233251</c:v>
                </c:pt>
                <c:pt idx="5">
                  <c:v>6.3735935585442896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EF-47C6-9695-2FAFCA4DE01B}"/>
            </c:ext>
          </c:extLst>
        </c:ser>
        <c:ser>
          <c:idx val="5"/>
          <c:order val="5"/>
          <c:tx>
            <c:strRef>
              <c:f>Sheet6!$J$1</c:f>
              <c:strCache>
                <c:ptCount val="1"/>
                <c:pt idx="0">
                  <c:v>QR-CNN-BiGRU-Attention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Sheet6!$C$2:$C$7</c:f>
              <c:strCache>
                <c:ptCount val="6"/>
                <c:pt idx="0">
                  <c:v>Completo 0.10</c:v>
                </c:pt>
                <c:pt idx="1">
                  <c:v>Completo 0.35</c:v>
                </c:pt>
                <c:pt idx="2">
                  <c:v>K-Medias 0.10</c:v>
                </c:pt>
                <c:pt idx="3">
                  <c:v>K-Medias 0.35</c:v>
                </c:pt>
                <c:pt idx="4">
                  <c:v>GMM 0.10</c:v>
                </c:pt>
                <c:pt idx="5">
                  <c:v>GMM 0.35</c:v>
                </c:pt>
              </c:strCache>
            </c:strRef>
          </c:cat>
          <c:val>
            <c:numRef>
              <c:f>Sheet6!$J$2:$J$7</c:f>
              <c:numCache>
                <c:formatCode>General</c:formatCode>
                <c:ptCount val="6"/>
                <c:pt idx="0">
                  <c:v>2.568287972462524</c:v>
                </c:pt>
                <c:pt idx="1">
                  <c:v>2.5303852308873829</c:v>
                </c:pt>
                <c:pt idx="2">
                  <c:v>5.9549307792865864</c:v>
                </c:pt>
                <c:pt idx="3">
                  <c:v>4.7578090316455341</c:v>
                </c:pt>
                <c:pt idx="4">
                  <c:v>6.2872529723779467</c:v>
                </c:pt>
                <c:pt idx="5">
                  <c:v>4.7943000438381125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EF-47C6-9695-2FAFCA4DE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0067376"/>
        <c:axId val="1500063536"/>
      </c:barChart>
      <c:catAx>
        <c:axId val="150006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Grupos de prueba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063536"/>
        <c:crosses val="autoZero"/>
        <c:auto val="1"/>
        <c:lblAlgn val="ctr"/>
        <c:lblOffset val="100"/>
        <c:noMultiLvlLbl val="0"/>
      </c:catAx>
      <c:valAx>
        <c:axId val="15000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06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8.5052206698814997E-2"/>
          <c:y val="3.7322035145376291E-2"/>
          <c:w val="0.16969114553604719"/>
          <c:h val="0.3620298360892971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9</xdr:row>
      <xdr:rowOff>16192</xdr:rowOff>
    </xdr:from>
    <xdr:to>
      <xdr:col>17</xdr:col>
      <xdr:colOff>28575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8ED28-9880-5962-42AC-8F06C88F1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10</xdr:row>
      <xdr:rowOff>162877</xdr:rowOff>
    </xdr:from>
    <xdr:to>
      <xdr:col>18</xdr:col>
      <xdr:colOff>266700</xdr:colOff>
      <xdr:row>26</xdr:row>
      <xdr:rowOff>10477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2AD44-8E09-855E-9D75-3D26D0EB7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496252</xdr:colOff>
      <xdr:row>35</xdr:row>
      <xdr:rowOff>73342</xdr:rowOff>
    </xdr:from>
    <xdr:to>
      <xdr:col>19</xdr:col>
      <xdr:colOff>276225</xdr:colOff>
      <xdr:row>50</xdr:row>
      <xdr:rowOff>98107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8D5FAD-7FF7-D5EA-B6C5-7D6293DA3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95249</xdr:colOff>
      <xdr:row>3</xdr:row>
      <xdr:rowOff>133350</xdr:rowOff>
    </xdr:from>
    <xdr:to>
      <xdr:col>15</xdr:col>
      <xdr:colOff>581025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6BAC9-7D94-CC3A-F18B-08EDCDA41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506731</xdr:colOff>
      <xdr:row>8</xdr:row>
      <xdr:rowOff>58102</xdr:rowOff>
    </xdr:from>
    <xdr:to>
      <xdr:col>13</xdr:col>
      <xdr:colOff>361950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3A0AB-927F-4D3F-880E-4478EE3AA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0048-5E2B-415C-B713-F55EBF8C1C0D}">
  <dimension ref="A1:P8"/>
  <sheetViews>
    <sheetView topLeftCell="A7" workbookViewId="0">
      <selection activeCell="G28" sqref="G28"/>
    </sheetView>
  </sheetViews>
  <sheetFormatPr defaultRowHeight="14.4" x14ac:dyDescent="0.3"/>
  <cols>
    <col min="1" max="1" width="12.6640625" bestFit="1" customWidth="1"/>
  </cols>
  <sheetData>
    <row r="1" spans="1:16" ht="14.4" customHeight="1" x14ac:dyDescent="0.3">
      <c r="B1" s="12" t="s">
        <v>52</v>
      </c>
      <c r="C1" s="12"/>
      <c r="D1" s="12"/>
      <c r="E1" s="14" t="s">
        <v>1</v>
      </c>
      <c r="F1" s="14"/>
      <c r="G1" s="14"/>
      <c r="H1" s="16" t="s">
        <v>51</v>
      </c>
      <c r="I1" s="16"/>
      <c r="J1" s="16"/>
      <c r="K1" s="18" t="s">
        <v>3</v>
      </c>
      <c r="L1" s="18"/>
      <c r="M1" s="18"/>
      <c r="N1" s="20" t="s">
        <v>4</v>
      </c>
      <c r="O1" s="20"/>
      <c r="P1" s="20"/>
    </row>
    <row r="2" spans="1:16" x14ac:dyDescent="0.3">
      <c r="B2" t="s">
        <v>5</v>
      </c>
      <c r="C2" t="s">
        <v>6</v>
      </c>
      <c r="D2" t="s">
        <v>11</v>
      </c>
      <c r="E2" t="s">
        <v>5</v>
      </c>
      <c r="F2" t="s">
        <v>6</v>
      </c>
      <c r="G2" t="s">
        <v>11</v>
      </c>
      <c r="H2" t="s">
        <v>5</v>
      </c>
      <c r="I2" t="s">
        <v>6</v>
      </c>
      <c r="J2" t="s">
        <v>11</v>
      </c>
      <c r="K2" t="s">
        <v>5</v>
      </c>
      <c r="L2" t="s">
        <v>6</v>
      </c>
      <c r="M2" t="s">
        <v>11</v>
      </c>
      <c r="N2" t="s">
        <v>5</v>
      </c>
      <c r="O2" t="s">
        <v>6</v>
      </c>
      <c r="P2" t="s">
        <v>11</v>
      </c>
    </row>
    <row r="3" spans="1:16" x14ac:dyDescent="0.3">
      <c r="A3" t="s">
        <v>7</v>
      </c>
      <c r="B3">
        <v>1.9887237339985571</v>
      </c>
      <c r="C3">
        <v>2.128178046673578</v>
      </c>
      <c r="D3" s="1">
        <f>C3/B3-1</f>
        <v>7.0122516411383229E-2</v>
      </c>
      <c r="E3">
        <v>1.594417961952719</v>
      </c>
      <c r="F3">
        <v>2.207589209059218</v>
      </c>
      <c r="G3" s="1">
        <f>F3/E3-1</f>
        <v>0.38457372015273483</v>
      </c>
      <c r="H3">
        <v>2.299080184445454</v>
      </c>
      <c r="I3">
        <v>2.663214627042779</v>
      </c>
      <c r="J3" s="1">
        <f>I3/H3-1</f>
        <v>0.15838266323240724</v>
      </c>
      <c r="K3">
        <v>2.5809627624071299</v>
      </c>
      <c r="L3">
        <v>2.837321868384854</v>
      </c>
      <c r="M3" s="1">
        <f>L3/K3-1</f>
        <v>9.9326929358187099E-2</v>
      </c>
      <c r="N3">
        <v>2.33168365426714</v>
      </c>
      <c r="O3">
        <v>2.568287972462524</v>
      </c>
      <c r="P3" s="1">
        <f>O3/N3-1</f>
        <v>0.10147359302467218</v>
      </c>
    </row>
    <row r="4" spans="1:16" x14ac:dyDescent="0.3">
      <c r="A4" t="s">
        <v>8</v>
      </c>
      <c r="B4">
        <v>1.5870583525916091</v>
      </c>
      <c r="C4">
        <v>2.105562013930288</v>
      </c>
      <c r="D4" s="1">
        <f t="shared" ref="D4:D8" si="0">C4/B4-1</f>
        <v>0.32670737058406263</v>
      </c>
      <c r="E4">
        <v>1.710516148705199</v>
      </c>
      <c r="F4">
        <v>2.2510727036333349</v>
      </c>
      <c r="G4" s="1">
        <f t="shared" ref="G4:G8" si="1">F4/E4-1</f>
        <v>0.31601955663342807</v>
      </c>
      <c r="H4">
        <v>2.4292416388685178</v>
      </c>
      <c r="I4">
        <v>2.769152041163284</v>
      </c>
      <c r="J4" s="1">
        <f t="shared" ref="J4:J8" si="2">I4/H4-1</f>
        <v>0.13992449201269586</v>
      </c>
      <c r="K4">
        <v>2.6813204696771979</v>
      </c>
      <c r="L4">
        <v>2.7449080347887702</v>
      </c>
      <c r="M4" s="1">
        <f t="shared" ref="M4:M8" si="3">L4/K4-1</f>
        <v>2.3715018712115121E-2</v>
      </c>
      <c r="N4">
        <v>2.558081829146313</v>
      </c>
      <c r="O4">
        <v>2.5303852308873829</v>
      </c>
      <c r="P4" s="1">
        <f t="shared" ref="P4:P8" si="4">O4/N4-1</f>
        <v>-1.0827096281033732E-2</v>
      </c>
    </row>
    <row r="5" spans="1:16" x14ac:dyDescent="0.3">
      <c r="A5" t="s">
        <v>57</v>
      </c>
      <c r="B5">
        <v>1.7436159480948865</v>
      </c>
      <c r="C5">
        <v>2.2981770818235088</v>
      </c>
      <c r="D5" s="1">
        <f t="shared" si="0"/>
        <v>0.31805234078900702</v>
      </c>
      <c r="E5">
        <v>1.9634900492651945</v>
      </c>
      <c r="F5">
        <v>2.3352707322188273</v>
      </c>
      <c r="G5" s="1">
        <f t="shared" si="1"/>
        <v>0.18934686381159205</v>
      </c>
      <c r="H5">
        <v>5.3643245083897453</v>
      </c>
      <c r="I5">
        <v>6.0375504554926405</v>
      </c>
      <c r="J5" s="1">
        <f t="shared" si="2"/>
        <v>0.12550060050430889</v>
      </c>
      <c r="K5">
        <v>9.023393284286648</v>
      </c>
      <c r="L5">
        <v>11.361428245732366</v>
      </c>
      <c r="M5" s="1">
        <f t="shared" si="3"/>
        <v>0.25910817447325241</v>
      </c>
      <c r="N5">
        <v>4.8826436757640463</v>
      </c>
      <c r="O5">
        <v>5.9549307792865864</v>
      </c>
      <c r="P5" s="1">
        <f t="shared" si="4"/>
        <v>0.21961199193073333</v>
      </c>
    </row>
    <row r="6" spans="1:16" x14ac:dyDescent="0.3">
      <c r="A6" t="s">
        <v>56</v>
      </c>
      <c r="B6">
        <v>2.1244172771434888</v>
      </c>
      <c r="C6">
        <v>2.2640650425011639</v>
      </c>
      <c r="D6" s="1">
        <f t="shared" si="0"/>
        <v>6.5734621376007052E-2</v>
      </c>
      <c r="E6">
        <v>1.7067521559365857</v>
      </c>
      <c r="F6">
        <v>2.5181998556131502</v>
      </c>
      <c r="G6" s="1">
        <f t="shared" si="1"/>
        <v>0.47543382139820989</v>
      </c>
      <c r="H6">
        <v>4.5365614474840026</v>
      </c>
      <c r="I6">
        <v>5.0437205099435367</v>
      </c>
      <c r="J6" s="1">
        <f t="shared" si="2"/>
        <v>0.11179371608441602</v>
      </c>
      <c r="K6">
        <v>4.5116882579246109</v>
      </c>
      <c r="L6">
        <v>5.4623510188892332</v>
      </c>
      <c r="M6" s="1">
        <f t="shared" si="3"/>
        <v>0.21071109230448681</v>
      </c>
      <c r="N6">
        <v>4.003475148152952</v>
      </c>
      <c r="O6">
        <v>4.7578090316455341</v>
      </c>
      <c r="P6" s="1">
        <f t="shared" si="4"/>
        <v>0.18841977421555933</v>
      </c>
    </row>
    <row r="7" spans="1:16" x14ac:dyDescent="0.3">
      <c r="A7" t="s">
        <v>9</v>
      </c>
      <c r="B7">
        <v>1.9757191393323466</v>
      </c>
      <c r="C7">
        <v>2.0503344676235664</v>
      </c>
      <c r="D7" s="1">
        <f t="shared" si="0"/>
        <v>3.7766161599484427E-2</v>
      </c>
      <c r="E7">
        <v>2.002799260602238</v>
      </c>
      <c r="F7">
        <v>2.1745480191730437</v>
      </c>
      <c r="G7" s="1">
        <f t="shared" si="1"/>
        <v>8.5754354891843354E-2</v>
      </c>
      <c r="H7">
        <v>8.9841977087365787</v>
      </c>
      <c r="I7">
        <v>9.5311051900475423</v>
      </c>
      <c r="J7" s="1">
        <f t="shared" si="2"/>
        <v>6.0874381780259501E-2</v>
      </c>
      <c r="K7">
        <v>6.1123293543474562</v>
      </c>
      <c r="L7">
        <v>7.1218391851233251</v>
      </c>
      <c r="M7" s="1">
        <f t="shared" si="3"/>
        <v>0.16515959338117869</v>
      </c>
      <c r="N7">
        <v>5.7119784584046505</v>
      </c>
      <c r="O7">
        <v>6.2872529723779467</v>
      </c>
      <c r="P7" s="1">
        <f t="shared" si="4"/>
        <v>0.10071370509579447</v>
      </c>
    </row>
    <row r="8" spans="1:16" x14ac:dyDescent="0.3">
      <c r="A8" t="s">
        <v>10</v>
      </c>
      <c r="B8">
        <v>2.0612945425492066</v>
      </c>
      <c r="C8">
        <v>2.2928113158625121</v>
      </c>
      <c r="D8" s="1">
        <f t="shared" si="0"/>
        <v>0.11231620155894273</v>
      </c>
      <c r="E8">
        <v>1.6730287770054719</v>
      </c>
      <c r="F8">
        <v>2.3759532383102684</v>
      </c>
      <c r="G8" s="1">
        <f t="shared" si="1"/>
        <v>0.42015084914615164</v>
      </c>
      <c r="H8">
        <v>4.4976822240307177</v>
      </c>
      <c r="I8">
        <v>5.7370683175352637</v>
      </c>
      <c r="J8" s="1">
        <f t="shared" si="2"/>
        <v>0.27556106273640579</v>
      </c>
      <c r="K8">
        <v>5.0299476718913123</v>
      </c>
      <c r="L8">
        <v>6.3735935585442896</v>
      </c>
      <c r="M8" s="1">
        <f t="shared" si="3"/>
        <v>0.26712919781683375</v>
      </c>
      <c r="N8">
        <v>3.9889024160210353</v>
      </c>
      <c r="O8">
        <v>4.7943000438381125</v>
      </c>
      <c r="P8" s="1">
        <f t="shared" si="4"/>
        <v>0.20190958409568416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0174-382E-40A9-8978-1382E1122D45}">
  <dimension ref="A1:J34"/>
  <sheetViews>
    <sheetView topLeftCell="A27" workbookViewId="0">
      <selection activeCell="O32" sqref="O32"/>
    </sheetView>
  </sheetViews>
  <sheetFormatPr defaultRowHeight="14.4" x14ac:dyDescent="0.3"/>
  <cols>
    <col min="1" max="1" width="24.33203125" customWidth="1"/>
  </cols>
  <sheetData>
    <row r="1" spans="1:7" x14ac:dyDescent="0.3">
      <c r="B1" s="9" t="s">
        <v>7</v>
      </c>
      <c r="C1" s="9"/>
      <c r="D1" s="9"/>
      <c r="E1" s="9" t="s">
        <v>8</v>
      </c>
      <c r="F1" s="9"/>
      <c r="G1" s="9"/>
    </row>
    <row r="2" spans="1:7" ht="16.2" x14ac:dyDescent="0.3">
      <c r="B2" t="s">
        <v>12</v>
      </c>
      <c r="C2" t="s">
        <v>13</v>
      </c>
      <c r="D2" t="s">
        <v>14</v>
      </c>
      <c r="E2" t="s">
        <v>12</v>
      </c>
      <c r="F2" t="s">
        <v>13</v>
      </c>
      <c r="G2" t="s">
        <v>14</v>
      </c>
    </row>
    <row r="3" spans="1:7" x14ac:dyDescent="0.3">
      <c r="A3" s="2" t="s">
        <v>0</v>
      </c>
      <c r="B3">
        <v>2.128178046673578</v>
      </c>
      <c r="C3">
        <v>1.0494413632082391</v>
      </c>
      <c r="D3">
        <v>0.96628285341274633</v>
      </c>
      <c r="E3">
        <v>2.105562013930288</v>
      </c>
      <c r="F3">
        <v>0.95905123098281442</v>
      </c>
      <c r="G3">
        <v>0.96699566624698974</v>
      </c>
    </row>
    <row r="4" spans="1:7" x14ac:dyDescent="0.3">
      <c r="A4" s="2" t="s">
        <v>1</v>
      </c>
      <c r="B4">
        <v>2.207589209059218</v>
      </c>
      <c r="C4">
        <v>0.94907410659893265</v>
      </c>
      <c r="D4">
        <v>0.9637196539076307</v>
      </c>
      <c r="E4">
        <v>2.2510727036333349</v>
      </c>
      <c r="F4">
        <v>0.90760134082901345</v>
      </c>
      <c r="G4">
        <v>0.96227632975987243</v>
      </c>
    </row>
    <row r="5" spans="1:7" x14ac:dyDescent="0.3">
      <c r="A5" s="2" t="s">
        <v>2</v>
      </c>
      <c r="B5">
        <v>2.663214627042779</v>
      </c>
      <c r="C5">
        <v>1.312878448217691</v>
      </c>
      <c r="D5">
        <v>0.9468744235867097</v>
      </c>
      <c r="E5">
        <v>2.769152041163284</v>
      </c>
      <c r="F5">
        <v>1.4387964635510739</v>
      </c>
      <c r="G5">
        <v>0.94256390259891798</v>
      </c>
    </row>
    <row r="6" spans="1:7" x14ac:dyDescent="0.3">
      <c r="A6" s="2" t="s">
        <v>3</v>
      </c>
      <c r="B6">
        <v>2.837321868384854</v>
      </c>
      <c r="C6">
        <v>1.461685608320521</v>
      </c>
      <c r="D6">
        <v>0.93970121920264327</v>
      </c>
      <c r="E6">
        <v>2.7449080347887702</v>
      </c>
      <c r="F6">
        <v>1.399776304499085</v>
      </c>
      <c r="G6">
        <v>0.94356520948612876</v>
      </c>
    </row>
    <row r="7" spans="1:7" x14ac:dyDescent="0.3">
      <c r="A7" s="2" t="s">
        <v>4</v>
      </c>
      <c r="B7">
        <v>2.568287972462524</v>
      </c>
      <c r="C7">
        <v>1.342753732703682</v>
      </c>
      <c r="D7">
        <v>0.95059410668617905</v>
      </c>
      <c r="E7">
        <v>2.5303852308873829</v>
      </c>
      <c r="F7">
        <v>1.273678589060671</v>
      </c>
      <c r="G7">
        <v>0.9520416085172777</v>
      </c>
    </row>
    <row r="28" spans="1:10" ht="16.2" x14ac:dyDescent="0.3">
      <c r="B28" s="9" t="s">
        <v>12</v>
      </c>
      <c r="C28" s="9"/>
      <c r="D28" s="9" t="s">
        <v>13</v>
      </c>
      <c r="E28" s="9"/>
      <c r="F28" s="9" t="s">
        <v>55</v>
      </c>
      <c r="G28" s="9"/>
    </row>
    <row r="29" spans="1:10" x14ac:dyDescent="0.3">
      <c r="B29" t="s">
        <v>15</v>
      </c>
      <c r="C29" t="s">
        <v>16</v>
      </c>
      <c r="D29" t="s">
        <v>15</v>
      </c>
      <c r="E29" t="s">
        <v>16</v>
      </c>
      <c r="F29" t="s">
        <v>15</v>
      </c>
      <c r="G29" t="s">
        <v>16</v>
      </c>
      <c r="J29" t="s">
        <v>17</v>
      </c>
    </row>
    <row r="30" spans="1:10" x14ac:dyDescent="0.3">
      <c r="A30" s="10" t="s">
        <v>52</v>
      </c>
      <c r="B30" s="4">
        <v>2.128178046673578</v>
      </c>
      <c r="C30" s="4">
        <v>2.105562013930288</v>
      </c>
      <c r="D30" s="4">
        <v>1.0494413632082391</v>
      </c>
      <c r="E30" s="4">
        <v>0.95905123098281442</v>
      </c>
      <c r="F30" s="4">
        <v>0.96628285341274633</v>
      </c>
      <c r="G30" s="4">
        <v>0.96699566624698974</v>
      </c>
      <c r="I30" t="s">
        <v>12</v>
      </c>
      <c r="J30">
        <f>TTEST(B30:B34,C30:C34,2,2)</f>
        <v>0.99712908508119535</v>
      </c>
    </row>
    <row r="31" spans="1:10" x14ac:dyDescent="0.3">
      <c r="A31" s="13" t="s">
        <v>1</v>
      </c>
      <c r="B31" s="4">
        <v>2.207589209059218</v>
      </c>
      <c r="C31" s="4">
        <v>2.2510727036333349</v>
      </c>
      <c r="D31" s="4">
        <v>0.94907410659893265</v>
      </c>
      <c r="E31" s="4">
        <v>0.90760134082901345</v>
      </c>
      <c r="F31" s="4">
        <v>0.9637196539076307</v>
      </c>
      <c r="G31" s="4">
        <v>0.96227632975987243</v>
      </c>
      <c r="I31" t="s">
        <v>13</v>
      </c>
      <c r="J31">
        <f>TTEST(D30:D34,E30:E34,2,2)</f>
        <v>0.85655213128325824</v>
      </c>
    </row>
    <row r="32" spans="1:10" x14ac:dyDescent="0.3">
      <c r="A32" s="15" t="s">
        <v>51</v>
      </c>
      <c r="B32" s="4">
        <v>2.663214627042779</v>
      </c>
      <c r="C32" s="4">
        <v>2.769152041163284</v>
      </c>
      <c r="D32" s="4">
        <v>1.312878448217691</v>
      </c>
      <c r="E32" s="4">
        <v>1.4387964635510739</v>
      </c>
      <c r="F32" s="4">
        <v>0.9468744235867097</v>
      </c>
      <c r="G32" s="4">
        <v>0.94256390259891798</v>
      </c>
      <c r="I32" t="s">
        <v>18</v>
      </c>
      <c r="J32">
        <f>TTEST(F30:F34,G30:G34,2,2)</f>
        <v>0.99405440718992799</v>
      </c>
    </row>
    <row r="33" spans="1:7" x14ac:dyDescent="0.3">
      <c r="A33" s="17" t="s">
        <v>3</v>
      </c>
      <c r="B33" s="4">
        <v>2.837321868384854</v>
      </c>
      <c r="C33" s="4">
        <v>2.7449080347887702</v>
      </c>
      <c r="D33" s="4">
        <v>1.461685608320521</v>
      </c>
      <c r="E33" s="4">
        <v>1.399776304499085</v>
      </c>
      <c r="F33" s="4">
        <v>0.93970121920264327</v>
      </c>
      <c r="G33" s="4">
        <v>0.94356520948612876</v>
      </c>
    </row>
    <row r="34" spans="1:7" x14ac:dyDescent="0.3">
      <c r="A34" s="19" t="s">
        <v>4</v>
      </c>
      <c r="B34" s="4">
        <v>2.568287972462524</v>
      </c>
      <c r="C34" s="4">
        <v>2.5303852308873829</v>
      </c>
      <c r="D34" s="4">
        <v>1.342753732703682</v>
      </c>
      <c r="E34" s="4">
        <v>1.273678589060671</v>
      </c>
      <c r="F34" s="4">
        <v>0.95059410668617905</v>
      </c>
      <c r="G34" s="4">
        <v>0.9520416085172777</v>
      </c>
    </row>
  </sheetData>
  <mergeCells count="5">
    <mergeCell ref="B1:D1"/>
    <mergeCell ref="E1:G1"/>
    <mergeCell ref="B28:C28"/>
    <mergeCell ref="D28:E28"/>
    <mergeCell ref="F28:G28"/>
  </mergeCells>
  <conditionalFormatting sqref="B30:C34">
    <cfRule type="colorScale" priority="7">
      <colorScale>
        <cfvo type="min"/>
        <cfvo type="max"/>
        <color theme="0"/>
        <color rgb="FFFF5050"/>
      </colorScale>
    </cfRule>
    <cfRule type="colorScale" priority="4">
      <colorScale>
        <cfvo type="min"/>
        <cfvo type="max"/>
        <color rgb="FF92D050"/>
        <color theme="0"/>
      </colorScale>
    </cfRule>
    <cfRule type="colorScale" priority="3">
      <colorScale>
        <cfvo type="min"/>
        <cfvo type="max"/>
        <color theme="6" tint="0.39997558519241921"/>
        <color theme="0"/>
      </colorScale>
    </cfRule>
  </conditionalFormatting>
  <conditionalFormatting sqref="D30:E34">
    <cfRule type="colorScale" priority="6">
      <colorScale>
        <cfvo type="min"/>
        <cfvo type="max"/>
        <color theme="0"/>
        <color rgb="FFFF5050"/>
      </colorScale>
    </cfRule>
    <cfRule type="colorScale" priority="2">
      <colorScale>
        <cfvo type="min"/>
        <cfvo type="max"/>
        <color theme="6" tint="0.39997558519241921"/>
        <color theme="0"/>
      </colorScale>
    </cfRule>
  </conditionalFormatting>
  <conditionalFormatting sqref="F30:G34">
    <cfRule type="colorScale" priority="5">
      <colorScale>
        <cfvo type="min"/>
        <cfvo type="max"/>
        <color rgb="FFFF5050"/>
        <color theme="0"/>
      </colorScale>
    </cfRule>
    <cfRule type="colorScale" priority="1">
      <colorScale>
        <cfvo type="min"/>
        <cfvo type="max"/>
        <color theme="0"/>
        <color theme="6" tint="0.39997558519241921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EF66-E15F-4EA2-9BD3-16DA66EF766E}">
  <dimension ref="A1:D6"/>
  <sheetViews>
    <sheetView workbookViewId="0">
      <selection activeCell="H11" sqref="H11"/>
    </sheetView>
  </sheetViews>
  <sheetFormatPr defaultRowHeight="14.4" x14ac:dyDescent="0.3"/>
  <sheetData>
    <row r="1" spans="1:4" x14ac:dyDescent="0.3">
      <c r="A1">
        <v>2.13</v>
      </c>
      <c r="B1">
        <v>1.05</v>
      </c>
      <c r="C1">
        <v>0.97</v>
      </c>
      <c r="D1">
        <v>11</v>
      </c>
    </row>
    <row r="2" spans="1:4" x14ac:dyDescent="0.3">
      <c r="A2">
        <v>2.21</v>
      </c>
      <c r="B2">
        <v>0.95</v>
      </c>
      <c r="C2">
        <v>0.96</v>
      </c>
      <c r="D2">
        <v>653</v>
      </c>
    </row>
    <row r="3" spans="1:4" x14ac:dyDescent="0.3">
      <c r="A3">
        <v>2.77</v>
      </c>
      <c r="B3">
        <v>1.44</v>
      </c>
      <c r="C3">
        <v>0.94</v>
      </c>
      <c r="D3">
        <v>2929</v>
      </c>
    </row>
    <row r="4" spans="1:4" x14ac:dyDescent="0.3">
      <c r="A4">
        <v>7.12</v>
      </c>
      <c r="B4">
        <v>5.01</v>
      </c>
      <c r="C4">
        <v>0.44</v>
      </c>
      <c r="D4">
        <v>9280</v>
      </c>
    </row>
    <row r="5" spans="1:4" x14ac:dyDescent="0.3">
      <c r="A5">
        <v>5.95</v>
      </c>
      <c r="B5">
        <v>4.03</v>
      </c>
      <c r="C5">
        <v>0.69</v>
      </c>
      <c r="D5">
        <v>1260</v>
      </c>
    </row>
    <row r="6" spans="1:4" x14ac:dyDescent="0.3">
      <c r="B6">
        <v>4.03</v>
      </c>
    </row>
  </sheetData>
  <conditionalFormatting sqref="A1:A5">
    <cfRule type="colorScale" priority="4">
      <colorScale>
        <cfvo type="min"/>
        <cfvo type="max"/>
        <color theme="9" tint="0.39997558519241921"/>
        <color theme="0"/>
      </colorScale>
    </cfRule>
  </conditionalFormatting>
  <conditionalFormatting sqref="B1:B5">
    <cfRule type="colorScale" priority="3">
      <colorScale>
        <cfvo type="min"/>
        <cfvo type="max"/>
        <color theme="9" tint="0.39997558519241921"/>
        <color theme="0"/>
      </colorScale>
    </cfRule>
  </conditionalFormatting>
  <conditionalFormatting sqref="C1:C5">
    <cfRule type="colorScale" priority="2">
      <colorScale>
        <cfvo type="min"/>
        <cfvo type="max"/>
        <color theme="0"/>
        <color theme="9" tint="0.39997558519241921"/>
      </colorScale>
    </cfRule>
  </conditionalFormatting>
  <conditionalFormatting sqref="D1:D5">
    <cfRule type="colorScale" priority="1">
      <colorScale>
        <cfvo type="min"/>
        <cfvo type="max"/>
        <color theme="9" tint="0.39997558519241921"/>
        <color theme="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C195-5525-492E-AF56-3FD76DBD4B19}">
  <dimension ref="A1:M19"/>
  <sheetViews>
    <sheetView workbookViewId="0">
      <selection activeCell="L14" sqref="L14"/>
    </sheetView>
  </sheetViews>
  <sheetFormatPr defaultRowHeight="14.4" x14ac:dyDescent="0.3"/>
  <cols>
    <col min="1" max="1" width="24.6640625" customWidth="1"/>
    <col min="2" max="2" width="9.5546875" bestFit="1" customWidth="1"/>
    <col min="3" max="4" width="10.5546875" bestFit="1" customWidth="1"/>
    <col min="5" max="5" width="9.5546875" bestFit="1" customWidth="1"/>
    <col min="6" max="6" width="10.5546875" bestFit="1" customWidth="1"/>
    <col min="7" max="8" width="9.5546875" bestFit="1" customWidth="1"/>
    <col min="9" max="10" width="10.21875" bestFit="1" customWidth="1"/>
  </cols>
  <sheetData>
    <row r="1" spans="1:13" x14ac:dyDescent="0.3">
      <c r="A1" s="9" t="s">
        <v>57</v>
      </c>
      <c r="B1" s="9"/>
      <c r="C1" s="9"/>
      <c r="D1" s="9"/>
      <c r="E1" s="9"/>
      <c r="F1" s="9"/>
      <c r="G1" s="9"/>
      <c r="H1" s="9"/>
      <c r="I1" s="9"/>
      <c r="J1" s="9"/>
    </row>
    <row r="2" spans="1:13" x14ac:dyDescent="0.3">
      <c r="A2" s="3"/>
      <c r="B2" s="9" t="s">
        <v>12</v>
      </c>
      <c r="C2" s="9"/>
      <c r="D2" s="9"/>
      <c r="E2" s="9" t="s">
        <v>13</v>
      </c>
      <c r="F2" s="9"/>
      <c r="G2" s="9"/>
      <c r="H2" s="9" t="s">
        <v>55</v>
      </c>
      <c r="I2" s="9"/>
      <c r="J2" s="9"/>
    </row>
    <row r="3" spans="1:13" x14ac:dyDescent="0.3">
      <c r="A3" s="3"/>
      <c r="B3" s="3" t="s">
        <v>19</v>
      </c>
      <c r="C3" s="3" t="s">
        <v>20</v>
      </c>
      <c r="D3" s="3" t="s">
        <v>21</v>
      </c>
      <c r="E3" s="3" t="s">
        <v>19</v>
      </c>
      <c r="F3" s="3" t="s">
        <v>20</v>
      </c>
      <c r="G3" s="3" t="s">
        <v>21</v>
      </c>
      <c r="H3" s="3" t="s">
        <v>19</v>
      </c>
      <c r="I3" s="3" t="s">
        <v>20</v>
      </c>
      <c r="J3" s="3" t="s">
        <v>21</v>
      </c>
    </row>
    <row r="4" spans="1:13" x14ac:dyDescent="0.3">
      <c r="A4" s="10" t="s">
        <v>52</v>
      </c>
      <c r="B4" s="5">
        <v>2.0363856169711649</v>
      </c>
      <c r="C4" s="5">
        <v>2.5599685466758531</v>
      </c>
      <c r="D4" s="5">
        <f>AVERAGE(B4:C4)</f>
        <v>2.2981770818235088</v>
      </c>
      <c r="E4" s="5">
        <v>1.136441371328164</v>
      </c>
      <c r="F4" s="5">
        <v>1.5688883307250781</v>
      </c>
      <c r="G4" s="5">
        <f t="shared" ref="G4:G8" si="0">AVERAGE(E4:F4)</f>
        <v>1.352664851026621</v>
      </c>
      <c r="H4" s="5">
        <v>0.96171795373648428</v>
      </c>
      <c r="I4" s="5">
        <v>0.94434153407808885</v>
      </c>
      <c r="J4" s="5">
        <f t="shared" ref="J4:J8" si="1">AVERAGE(H4:I4)</f>
        <v>0.95302974390728656</v>
      </c>
      <c r="L4" t="s">
        <v>22</v>
      </c>
      <c r="M4">
        <f>TTEST(B4:B8,B12:B16,2,2)</f>
        <v>0.73740412358070806</v>
      </c>
    </row>
    <row r="5" spans="1:13" x14ac:dyDescent="0.3">
      <c r="A5" s="13" t="s">
        <v>1</v>
      </c>
      <c r="B5" s="5">
        <v>2.245516482845304</v>
      </c>
      <c r="C5" s="5">
        <v>2.4250249815923501</v>
      </c>
      <c r="D5" s="5">
        <f t="shared" ref="D5:D8" si="2">AVERAGE(B5:C5)</f>
        <v>2.3352707322188273</v>
      </c>
      <c r="E5" s="5">
        <v>1.170494386653917</v>
      </c>
      <c r="F5" s="5">
        <v>1.3447638765417991</v>
      </c>
      <c r="G5" s="5">
        <f t="shared" si="0"/>
        <v>1.2576291315978581</v>
      </c>
      <c r="H5" s="5">
        <v>0.95345129573359699</v>
      </c>
      <c r="I5" s="5">
        <v>0.95005472518839862</v>
      </c>
      <c r="J5" s="5">
        <f t="shared" si="1"/>
        <v>0.95175301046099781</v>
      </c>
      <c r="L5" t="s">
        <v>30</v>
      </c>
      <c r="M5">
        <f>TTEST(C4:C8,C12:C16,2,2)</f>
        <v>0.33892654509288567</v>
      </c>
    </row>
    <row r="6" spans="1:13" x14ac:dyDescent="0.3">
      <c r="A6" s="15" t="s">
        <v>51</v>
      </c>
      <c r="B6" s="5">
        <v>5.8789525166012977</v>
      </c>
      <c r="C6" s="5">
        <v>6.1961483943839823</v>
      </c>
      <c r="D6" s="5">
        <f t="shared" si="2"/>
        <v>6.0375504554926405</v>
      </c>
      <c r="E6" s="5">
        <v>4.1603262414367892</v>
      </c>
      <c r="F6" s="5">
        <v>4.6343397866962706</v>
      </c>
      <c r="G6" s="5">
        <f t="shared" si="0"/>
        <v>4.3973330140665299</v>
      </c>
      <c r="H6" s="5">
        <v>0.67879194169435086</v>
      </c>
      <c r="I6" s="5">
        <v>0.6838399224868088</v>
      </c>
      <c r="J6" s="5">
        <f t="shared" si="1"/>
        <v>0.68131593209057983</v>
      </c>
      <c r="L6" t="s">
        <v>23</v>
      </c>
      <c r="M6">
        <f>TTEST(D4:D8,D12:D16,2,2)</f>
        <v>0.4008150477053356</v>
      </c>
    </row>
    <row r="7" spans="1:13" x14ac:dyDescent="0.3">
      <c r="A7" s="17" t="s">
        <v>3</v>
      </c>
      <c r="B7" s="5">
        <v>5.748979058393493</v>
      </c>
      <c r="C7" s="5">
        <v>16.973877433071241</v>
      </c>
      <c r="D7" s="5">
        <f t="shared" si="2"/>
        <v>11.361428245732366</v>
      </c>
      <c r="E7" s="5">
        <v>4.2589988448253964</v>
      </c>
      <c r="F7" s="5">
        <v>12.91044353741496</v>
      </c>
      <c r="G7" s="5">
        <f t="shared" si="0"/>
        <v>8.5847211911201775</v>
      </c>
      <c r="H7" s="5">
        <v>0.69283765077809933</v>
      </c>
      <c r="I7" s="5">
        <v>-1.37260549785443</v>
      </c>
      <c r="J7" s="5">
        <f t="shared" si="1"/>
        <v>-0.33988392353816532</v>
      </c>
      <c r="L7" t="s">
        <v>24</v>
      </c>
      <c r="M7">
        <f>TTEST(E4:E8,E12:E16,2,2)</f>
        <v>0.50754057808484987</v>
      </c>
    </row>
    <row r="8" spans="1:13" x14ac:dyDescent="0.3">
      <c r="A8" s="19" t="s">
        <v>4</v>
      </c>
      <c r="B8" s="5">
        <v>5.6958207402857104</v>
      </c>
      <c r="C8" s="5">
        <v>6.2140408182874634</v>
      </c>
      <c r="D8" s="5">
        <f t="shared" si="2"/>
        <v>5.9549307792865864</v>
      </c>
      <c r="E8" s="5">
        <v>3.7527893214881001</v>
      </c>
      <c r="F8" s="5">
        <v>4.3014048158927034</v>
      </c>
      <c r="G8" s="5">
        <f t="shared" si="0"/>
        <v>4.0270970686904022</v>
      </c>
      <c r="H8" s="5">
        <v>0.69849178298282721</v>
      </c>
      <c r="I8" s="5">
        <v>0.68201135501194998</v>
      </c>
      <c r="J8" s="5">
        <f t="shared" si="1"/>
        <v>0.6902515689973886</v>
      </c>
      <c r="L8" t="s">
        <v>25</v>
      </c>
      <c r="M8">
        <f>TTEST(F4:F8,F12:F16,2,2)</f>
        <v>0.29090074929809107</v>
      </c>
    </row>
    <row r="9" spans="1:13" x14ac:dyDescent="0.3">
      <c r="A9" s="9" t="s">
        <v>56</v>
      </c>
      <c r="B9" s="9"/>
      <c r="C9" s="9"/>
      <c r="D9" s="9"/>
      <c r="E9" s="9"/>
      <c r="F9" s="9"/>
      <c r="G9" s="9"/>
      <c r="H9" s="9"/>
      <c r="I9" s="9"/>
      <c r="J9" s="9"/>
      <c r="L9" t="s">
        <v>26</v>
      </c>
      <c r="M9">
        <f>TTEST(G4:G8,G12:G16,2,2)</f>
        <v>0.31443354223869852</v>
      </c>
    </row>
    <row r="10" spans="1:13" x14ac:dyDescent="0.3">
      <c r="A10" s="3"/>
      <c r="B10" s="9" t="s">
        <v>12</v>
      </c>
      <c r="C10" s="9"/>
      <c r="D10" s="9"/>
      <c r="E10" s="9" t="s">
        <v>13</v>
      </c>
      <c r="F10" s="9"/>
      <c r="G10" s="9"/>
      <c r="H10" s="9" t="s">
        <v>55</v>
      </c>
      <c r="I10" s="9"/>
      <c r="J10" s="9"/>
      <c r="L10" t="s">
        <v>27</v>
      </c>
      <c r="M10">
        <f>TTEST(H4:H8,H12:H16,2,2)</f>
        <v>0.63524897144750481</v>
      </c>
    </row>
    <row r="11" spans="1:13" x14ac:dyDescent="0.3">
      <c r="A11" s="3"/>
      <c r="B11" s="3" t="s">
        <v>19</v>
      </c>
      <c r="C11" s="3" t="s">
        <v>20</v>
      </c>
      <c r="D11" s="3" t="s">
        <v>21</v>
      </c>
      <c r="E11" s="3" t="s">
        <v>19</v>
      </c>
      <c r="F11" s="3" t="s">
        <v>20</v>
      </c>
      <c r="G11" s="3" t="s">
        <v>21</v>
      </c>
      <c r="H11" s="3" t="s">
        <v>19</v>
      </c>
      <c r="I11" s="3" t="s">
        <v>20</v>
      </c>
      <c r="J11" s="3" t="s">
        <v>21</v>
      </c>
      <c r="L11" s="3" t="s">
        <v>28</v>
      </c>
      <c r="M11">
        <f>TTEST(I4:I8,I12:I16,2,2)</f>
        <v>0.4600670417233218</v>
      </c>
    </row>
    <row r="12" spans="1:13" x14ac:dyDescent="0.3">
      <c r="A12" s="10" t="s">
        <v>52</v>
      </c>
      <c r="B12" s="5">
        <v>2.046545336495754</v>
      </c>
      <c r="C12" s="5">
        <v>2.4815847485065738</v>
      </c>
      <c r="D12" s="5">
        <f>AVERAGE(B12:C12)</f>
        <v>2.2640650425011639</v>
      </c>
      <c r="E12" s="5">
        <v>1.1055750484380571</v>
      </c>
      <c r="F12" s="5">
        <v>1.429856712374548</v>
      </c>
      <c r="G12" s="5">
        <f t="shared" ref="G12:G16" si="3">AVERAGE(E12:F12)</f>
        <v>1.2677158804063025</v>
      </c>
      <c r="H12" s="5">
        <v>0.96142586274646968</v>
      </c>
      <c r="I12" s="5">
        <v>0.90965437351815037</v>
      </c>
      <c r="J12" s="5">
        <f t="shared" ref="J12:J16" si="4">AVERAGE(H12:I12)</f>
        <v>0.93554011813230997</v>
      </c>
      <c r="L12" t="s">
        <v>29</v>
      </c>
      <c r="M12">
        <f>TTEST(J4:J8,J12:J16,2,2)</f>
        <v>0.45502399877359234</v>
      </c>
    </row>
    <row r="13" spans="1:13" x14ac:dyDescent="0.3">
      <c r="A13" s="13" t="s">
        <v>1</v>
      </c>
      <c r="B13" s="5">
        <v>2.2395185954139079</v>
      </c>
      <c r="C13" s="5">
        <v>2.796881115812393</v>
      </c>
      <c r="D13" s="5">
        <f t="shared" ref="D13:D16" si="5">AVERAGE(B13:C13)</f>
        <v>2.5181998556131502</v>
      </c>
      <c r="E13" s="5">
        <v>1.0754492410530361</v>
      </c>
      <c r="F13" s="5">
        <v>1.534063285366595</v>
      </c>
      <c r="G13" s="5">
        <f t="shared" si="3"/>
        <v>1.3047562632098155</v>
      </c>
      <c r="H13" s="5">
        <v>0.95380841896497426</v>
      </c>
      <c r="I13" s="5">
        <v>0.88523831284930565</v>
      </c>
      <c r="J13" s="5">
        <f t="shared" si="4"/>
        <v>0.91952336590714001</v>
      </c>
    </row>
    <row r="14" spans="1:13" x14ac:dyDescent="0.3">
      <c r="A14" s="15" t="s">
        <v>51</v>
      </c>
      <c r="B14" s="5">
        <v>5.2576866473044346</v>
      </c>
      <c r="C14" s="5">
        <v>4.8297543725826388</v>
      </c>
      <c r="D14" s="5">
        <f t="shared" si="5"/>
        <v>5.0437205099435367</v>
      </c>
      <c r="E14" s="5">
        <v>3.4608132305724579</v>
      </c>
      <c r="F14" s="5">
        <v>3.027706073744874</v>
      </c>
      <c r="G14" s="5">
        <f t="shared" si="3"/>
        <v>3.2442596521586662</v>
      </c>
      <c r="H14" s="5">
        <v>0.74332013534249319</v>
      </c>
      <c r="I14" s="5">
        <v>0.64912003640280358</v>
      </c>
      <c r="J14" s="5">
        <f t="shared" si="4"/>
        <v>0.69622008587264839</v>
      </c>
      <c r="L14">
        <f>TTEST(B4:B8,C4:C8,2,2)</f>
        <v>0.38914873434441</v>
      </c>
    </row>
    <row r="15" spans="1:13" x14ac:dyDescent="0.3">
      <c r="A15" s="17" t="s">
        <v>3</v>
      </c>
      <c r="B15" s="5">
        <v>5.2138785711668252</v>
      </c>
      <c r="C15" s="5">
        <v>5.7108234666116422</v>
      </c>
      <c r="D15" s="5">
        <f t="shared" si="5"/>
        <v>5.4623510188892332</v>
      </c>
      <c r="E15" s="5">
        <v>2.949152478290987</v>
      </c>
      <c r="F15" s="5">
        <v>3.3975105587643069</v>
      </c>
      <c r="G15" s="5">
        <f t="shared" si="3"/>
        <v>3.1733315185276467</v>
      </c>
      <c r="H15" s="5">
        <v>0.74757972914725623</v>
      </c>
      <c r="I15" s="5">
        <v>0.50942439123721994</v>
      </c>
      <c r="J15" s="5">
        <f t="shared" si="4"/>
        <v>0.62850206019223809</v>
      </c>
      <c r="L15">
        <f>TTEST(F4:F8,E4:E8,2,2)</f>
        <v>0.38146809205443044</v>
      </c>
    </row>
    <row r="16" spans="1:13" x14ac:dyDescent="0.3">
      <c r="A16" s="19" t="s">
        <v>4</v>
      </c>
      <c r="B16" s="5">
        <v>4.8481865655520311</v>
      </c>
      <c r="C16" s="5">
        <v>4.6674314977390372</v>
      </c>
      <c r="D16" s="5">
        <f t="shared" si="5"/>
        <v>4.7578090316455341</v>
      </c>
      <c r="E16" s="5">
        <v>2.8576432976255912</v>
      </c>
      <c r="F16" s="5">
        <v>3.242423585171653</v>
      </c>
      <c r="G16" s="5">
        <f t="shared" si="3"/>
        <v>3.0500334413986221</v>
      </c>
      <c r="H16" s="5">
        <v>0.7817465833373648</v>
      </c>
      <c r="I16" s="5">
        <v>0.67230909638915659</v>
      </c>
      <c r="J16" s="5">
        <f t="shared" si="4"/>
        <v>0.72702783986326069</v>
      </c>
      <c r="L16">
        <f>TTEST(I4:I8,H4:H8,2,2)</f>
        <v>0.37477931402570441</v>
      </c>
    </row>
    <row r="17" spans="12:12" x14ac:dyDescent="0.3">
      <c r="L17">
        <f>TTEST(B12:B16,C12:C16,2,2)</f>
        <v>0.85896903327995289</v>
      </c>
    </row>
    <row r="18" spans="12:12" x14ac:dyDescent="0.3">
      <c r="L18">
        <f>TTEST(F12:F16,E12:E16,2,2)</f>
        <v>0.72932369606304492</v>
      </c>
    </row>
    <row r="19" spans="12:12" x14ac:dyDescent="0.3">
      <c r="L19">
        <f>TTEST(I12:I16,H12:H16,2,2)</f>
        <v>0.24921101408700971</v>
      </c>
    </row>
  </sheetData>
  <mergeCells count="8">
    <mergeCell ref="B10:D10"/>
    <mergeCell ref="E10:G10"/>
    <mergeCell ref="H10:J10"/>
    <mergeCell ref="B2:D2"/>
    <mergeCell ref="E2:G2"/>
    <mergeCell ref="H2:J2"/>
    <mergeCell ref="A1:J1"/>
    <mergeCell ref="A9:J9"/>
  </mergeCells>
  <conditionalFormatting sqref="B4:B8">
    <cfRule type="colorScale" priority="14">
      <colorScale>
        <cfvo type="min"/>
        <cfvo type="max"/>
        <color rgb="FFFCFCFF"/>
        <color rgb="FFF8696B"/>
      </colorScale>
    </cfRule>
  </conditionalFormatting>
  <conditionalFormatting sqref="B4:G8">
    <cfRule type="colorScale" priority="9">
      <colorScale>
        <cfvo type="min"/>
        <cfvo type="max"/>
        <color rgb="FFFCFCFF"/>
        <color rgb="FFF8696B"/>
      </colorScale>
    </cfRule>
  </conditionalFormatting>
  <conditionalFormatting sqref="B12:G16">
    <cfRule type="colorScale" priority="10">
      <colorScale>
        <cfvo type="min"/>
        <cfvo type="max"/>
        <color rgb="FFFCFCFF"/>
        <color rgb="FFF8696B"/>
      </colorScale>
    </cfRule>
  </conditionalFormatting>
  <conditionalFormatting sqref="C4:C8">
    <cfRule type="colorScale" priority="13">
      <colorScale>
        <cfvo type="min"/>
        <cfvo type="max"/>
        <color rgb="FFFCFCFF"/>
        <color rgb="FFF8696B"/>
      </colorScale>
    </cfRule>
  </conditionalFormatting>
  <conditionalFormatting sqref="D4:D8">
    <cfRule type="colorScale" priority="12">
      <colorScale>
        <cfvo type="min"/>
        <cfvo type="max"/>
        <color rgb="FFFCFCFF"/>
        <color rgb="FFF8696B"/>
      </colorScale>
    </cfRule>
  </conditionalFormatting>
  <conditionalFormatting sqref="E4:J8">
    <cfRule type="colorScale" priority="11">
      <colorScale>
        <cfvo type="min"/>
        <cfvo type="max"/>
        <color rgb="FFFCFCFF"/>
        <color rgb="FFF8696B"/>
      </colorScale>
    </cfRule>
  </conditionalFormatting>
  <conditionalFormatting sqref="H4:J8">
    <cfRule type="colorScale" priority="8">
      <colorScale>
        <cfvo type="min"/>
        <cfvo type="max"/>
        <color rgb="FFF8696B"/>
        <color rgb="FFFCFCFF"/>
      </colorScale>
    </cfRule>
    <cfRule type="colorScale" priority="4">
      <colorScale>
        <cfvo type="min"/>
        <cfvo type="max"/>
        <color rgb="FFFF5050"/>
        <color theme="0"/>
      </colorScale>
    </cfRule>
  </conditionalFormatting>
  <conditionalFormatting sqref="H12:J16">
    <cfRule type="colorScale" priority="7">
      <colorScale>
        <cfvo type="min"/>
        <cfvo type="max"/>
        <color rgb="FFF8696B"/>
        <color rgb="FFFCFCFF"/>
      </colorScale>
    </cfRule>
    <cfRule type="colorScale" priority="1">
      <colorScale>
        <cfvo type="min"/>
        <cfvo type="max"/>
        <color rgb="FFFF5050"/>
        <color theme="0"/>
      </colorScale>
    </cfRule>
  </conditionalFormatting>
  <conditionalFormatting sqref="B4:D8">
    <cfRule type="colorScale" priority="6">
      <colorScale>
        <cfvo type="min"/>
        <cfvo type="max"/>
        <color theme="0"/>
        <color rgb="FFFF5050"/>
      </colorScale>
    </cfRule>
  </conditionalFormatting>
  <conditionalFormatting sqref="E4:G8">
    <cfRule type="colorScale" priority="5">
      <colorScale>
        <cfvo type="min"/>
        <cfvo type="max"/>
        <color theme="0"/>
        <color rgb="FFFF5050"/>
      </colorScale>
    </cfRule>
  </conditionalFormatting>
  <conditionalFormatting sqref="B12:D16">
    <cfRule type="colorScale" priority="3">
      <colorScale>
        <cfvo type="min"/>
        <cfvo type="max"/>
        <color theme="0"/>
        <color rgb="FFFF5050"/>
      </colorScale>
    </cfRule>
  </conditionalFormatting>
  <conditionalFormatting sqref="E12:G16">
    <cfRule type="colorScale" priority="2">
      <colorScale>
        <cfvo type="min"/>
        <cfvo type="max"/>
        <color theme="0"/>
        <color rgb="FFFF5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3274-9D30-44D4-A58F-53158582F014}">
  <dimension ref="A1:W18"/>
  <sheetViews>
    <sheetView workbookViewId="0">
      <selection activeCell="B18" sqref="B18:M18"/>
    </sheetView>
  </sheetViews>
  <sheetFormatPr defaultRowHeight="14.4" x14ac:dyDescent="0.3"/>
  <cols>
    <col min="1" max="1" width="24.6640625" customWidth="1"/>
  </cols>
  <sheetData>
    <row r="1" spans="1:23" x14ac:dyDescent="0.3">
      <c r="A1" s="9" t="s">
        <v>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23" x14ac:dyDescent="0.3">
      <c r="A2" s="3"/>
      <c r="B2" s="9" t="s">
        <v>12</v>
      </c>
      <c r="C2" s="9"/>
      <c r="D2" s="9"/>
      <c r="E2" s="9"/>
      <c r="F2" s="9" t="s">
        <v>13</v>
      </c>
      <c r="G2" s="9"/>
      <c r="H2" s="9"/>
      <c r="I2" s="9"/>
      <c r="J2" s="9" t="s">
        <v>55</v>
      </c>
      <c r="K2" s="9"/>
      <c r="L2" s="9"/>
      <c r="M2" s="9"/>
    </row>
    <row r="3" spans="1:23" x14ac:dyDescent="0.3">
      <c r="A3" s="3"/>
      <c r="B3" t="s">
        <v>31</v>
      </c>
      <c r="C3" t="s">
        <v>32</v>
      </c>
      <c r="D3" t="s">
        <v>33</v>
      </c>
      <c r="E3" t="s">
        <v>34</v>
      </c>
      <c r="F3" t="s">
        <v>31</v>
      </c>
      <c r="G3" t="s">
        <v>32</v>
      </c>
      <c r="H3" t="s">
        <v>33</v>
      </c>
      <c r="I3" t="s">
        <v>34</v>
      </c>
      <c r="J3" t="s">
        <v>31</v>
      </c>
      <c r="K3" t="s">
        <v>32</v>
      </c>
      <c r="L3" t="s">
        <v>33</v>
      </c>
      <c r="M3" t="s">
        <v>34</v>
      </c>
    </row>
    <row r="4" spans="1:23" x14ac:dyDescent="0.3">
      <c r="A4" s="10" t="s">
        <v>52</v>
      </c>
      <c r="B4" s="4">
        <v>1.78635893725304</v>
      </c>
      <c r="C4" s="4">
        <v>1.8759071739972839</v>
      </c>
      <c r="D4" s="4">
        <v>2.4887372916203758</v>
      </c>
      <c r="E4" s="4">
        <v>2.0503344676235664</v>
      </c>
      <c r="F4" s="4">
        <v>1.0049648421862361</v>
      </c>
      <c r="G4" s="4">
        <v>1.214879559358605</v>
      </c>
      <c r="H4" s="4">
        <v>1.484803568039637</v>
      </c>
      <c r="I4" s="4">
        <v>1.2348826565281594</v>
      </c>
      <c r="J4" s="4">
        <v>0.95519947552036888</v>
      </c>
      <c r="K4" s="4">
        <v>0.96687772806594163</v>
      </c>
      <c r="L4" s="4">
        <v>0.94972207827015187</v>
      </c>
      <c r="M4" s="4">
        <v>0.9572664272854875</v>
      </c>
      <c r="O4">
        <f>TTEST(B4:B8,C4:C8,2,2)</f>
        <v>0.46897643260546662</v>
      </c>
      <c r="S4">
        <f>TTEST(F4:F8,G4:G8,2,2)</f>
        <v>0.32844757314756556</v>
      </c>
      <c r="W4">
        <f>TTEST(J4:J8,K4:K8,2,2)</f>
        <v>0.67490564094901095</v>
      </c>
    </row>
    <row r="5" spans="1:23" x14ac:dyDescent="0.3">
      <c r="A5" s="13" t="s">
        <v>1</v>
      </c>
      <c r="B5" s="4">
        <v>2.086909898456597</v>
      </c>
      <c r="C5" s="4">
        <v>2.0334241021933619</v>
      </c>
      <c r="D5" s="4">
        <v>2.4033100568691732</v>
      </c>
      <c r="E5" s="4">
        <v>2.1745480191730437</v>
      </c>
      <c r="F5" s="4">
        <v>1.115633991038075</v>
      </c>
      <c r="G5" s="4">
        <v>1.2376940476052971</v>
      </c>
      <c r="H5" s="4">
        <v>1.372843654748569</v>
      </c>
      <c r="I5" s="4">
        <v>1.242057231130647</v>
      </c>
      <c r="J5" s="4">
        <v>0.93885611327386687</v>
      </c>
      <c r="K5" s="4">
        <v>0.96108174460171281</v>
      </c>
      <c r="L5" s="4">
        <v>0.95311447165133656</v>
      </c>
      <c r="M5" s="4">
        <v>0.95101744317563863</v>
      </c>
      <c r="O5">
        <f>TTEST(B4:B8,D4:D8,2,2)</f>
        <v>0.70079108994531603</v>
      </c>
      <c r="S5">
        <f>TTEST(F4:F8,H4:H8,2,2)</f>
        <v>0.53362043161628825</v>
      </c>
      <c r="W5">
        <f>TTEST(J4:J8,L4:L8,2,2)</f>
        <v>0.740000578275958</v>
      </c>
    </row>
    <row r="6" spans="1:23" x14ac:dyDescent="0.3">
      <c r="A6" s="15" t="s">
        <v>51</v>
      </c>
      <c r="B6" s="4">
        <v>6.9427797674268206</v>
      </c>
      <c r="C6" s="4">
        <v>10.43738983742605</v>
      </c>
      <c r="D6" s="4">
        <v>11.21314596528976</v>
      </c>
      <c r="E6" s="4">
        <v>9.5311051900475423</v>
      </c>
      <c r="F6" s="4">
        <v>4.6273726290641948</v>
      </c>
      <c r="G6" s="4">
        <v>9.5036559824011793</v>
      </c>
      <c r="H6" s="4">
        <v>10.351646960947861</v>
      </c>
      <c r="I6" s="4">
        <v>8.1608918574710767</v>
      </c>
      <c r="J6" s="4">
        <v>0.2718759426539834</v>
      </c>
      <c r="K6" s="4">
        <v>-6.4417119478008766E-2</v>
      </c>
      <c r="L6" s="4">
        <v>-8.8338071834548337E-3</v>
      </c>
      <c r="M6" s="4">
        <v>6.6208338664173264E-2</v>
      </c>
      <c r="O6">
        <f>TTEST(C4:C8,D4:D8,2,2)</f>
        <v>0.74068461699404686</v>
      </c>
      <c r="S6">
        <f>TTEST(G4:G8,H4:H8,2,2)</f>
        <v>0.77706178562755024</v>
      </c>
      <c r="W6">
        <f>TTEST(K4:K8,L4:L8,2,2)</f>
        <v>0.51011965079422372</v>
      </c>
    </row>
    <row r="7" spans="1:23" x14ac:dyDescent="0.3">
      <c r="A7" s="17" t="s">
        <v>3</v>
      </c>
      <c r="B7" s="4">
        <v>6.2043426026508488</v>
      </c>
      <c r="C7" s="4">
        <v>9.0623327955438082</v>
      </c>
      <c r="D7" s="4">
        <v>6.098842157175322</v>
      </c>
      <c r="E7" s="4">
        <v>7.1218391851233251</v>
      </c>
      <c r="F7" s="4">
        <v>3.8907359780392752</v>
      </c>
      <c r="G7" s="4">
        <v>6.5956337495617481</v>
      </c>
      <c r="H7" s="4">
        <v>4.5521694332077658</v>
      </c>
      <c r="I7" s="4">
        <v>5.0128463869362632</v>
      </c>
      <c r="J7" s="4">
        <v>0.41852620813137142</v>
      </c>
      <c r="K7" s="4">
        <v>0.19756834108787899</v>
      </c>
      <c r="L7" s="4">
        <v>0.70155832852541589</v>
      </c>
      <c r="M7" s="4">
        <v>0.43921762591488878</v>
      </c>
    </row>
    <row r="8" spans="1:23" x14ac:dyDescent="0.3">
      <c r="A8" s="19" t="s">
        <v>4</v>
      </c>
      <c r="B8" s="4">
        <v>6.1635285332548424</v>
      </c>
      <c r="C8" s="4">
        <v>7.8169191371184414</v>
      </c>
      <c r="D8" s="4">
        <v>4.8813112467605562</v>
      </c>
      <c r="E8" s="4">
        <v>6.2872529723779467</v>
      </c>
      <c r="F8" s="4">
        <v>4.2884891993664684</v>
      </c>
      <c r="G8" s="4">
        <v>5.7078034208821142</v>
      </c>
      <c r="H8" s="4">
        <v>3.1238031972539342</v>
      </c>
      <c r="I8" s="4">
        <v>4.3733652725008385</v>
      </c>
      <c r="J8" s="4">
        <v>0.42615127141171938</v>
      </c>
      <c r="K8" s="4">
        <v>0.40296570290974421</v>
      </c>
      <c r="L8" s="4">
        <v>0.80882210417522982</v>
      </c>
      <c r="M8" s="4">
        <v>0.54597969283223113</v>
      </c>
    </row>
    <row r="9" spans="1:23" x14ac:dyDescent="0.3">
      <c r="A9" s="9" t="s">
        <v>10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23" x14ac:dyDescent="0.3">
      <c r="A10" s="3"/>
      <c r="B10" s="9" t="s">
        <v>12</v>
      </c>
      <c r="C10" s="9"/>
      <c r="D10" s="9"/>
      <c r="E10" s="9"/>
      <c r="F10" s="9" t="s">
        <v>13</v>
      </c>
      <c r="G10" s="9"/>
      <c r="H10" s="9"/>
      <c r="I10" s="9"/>
      <c r="J10" s="9" t="s">
        <v>55</v>
      </c>
      <c r="K10" s="9"/>
      <c r="L10" s="9"/>
      <c r="M10" s="9"/>
    </row>
    <row r="11" spans="1:23" x14ac:dyDescent="0.3">
      <c r="A11" s="3"/>
      <c r="B11" t="s">
        <v>31</v>
      </c>
      <c r="C11" t="s">
        <v>32</v>
      </c>
      <c r="D11" t="s">
        <v>33</v>
      </c>
      <c r="E11" t="s">
        <v>34</v>
      </c>
      <c r="F11" t="s">
        <v>31</v>
      </c>
      <c r="G11" t="s">
        <v>32</v>
      </c>
      <c r="H11" t="s">
        <v>33</v>
      </c>
      <c r="I11" t="s">
        <v>34</v>
      </c>
      <c r="J11" t="s">
        <v>31</v>
      </c>
      <c r="K11" t="s">
        <v>32</v>
      </c>
      <c r="L11" t="s">
        <v>33</v>
      </c>
      <c r="M11" t="s">
        <v>34</v>
      </c>
    </row>
    <row r="12" spans="1:23" x14ac:dyDescent="0.3">
      <c r="A12" s="10" t="s">
        <v>52</v>
      </c>
      <c r="B12" s="4">
        <v>2.4855914798135901</v>
      </c>
      <c r="C12" s="4">
        <v>2.355913227953716</v>
      </c>
      <c r="D12" s="4">
        <v>2.0369292398202292</v>
      </c>
      <c r="E12" s="4">
        <v>2.2928113158625121</v>
      </c>
      <c r="F12" s="4">
        <v>1.4180845242911551</v>
      </c>
      <c r="G12" s="4">
        <v>1.501635227832566</v>
      </c>
      <c r="H12" s="4">
        <v>1.1027042107864311</v>
      </c>
      <c r="I12" s="4">
        <v>1.3408079876367174</v>
      </c>
      <c r="J12" s="4">
        <v>0.80741695136704839</v>
      </c>
      <c r="K12" s="4">
        <v>0.94073046027380214</v>
      </c>
      <c r="L12" s="4">
        <v>0.96178750749125852</v>
      </c>
      <c r="M12" s="4">
        <v>0.90331163971070294</v>
      </c>
      <c r="O12">
        <f>TTEST(B12:B16,C12:C16,2,2)</f>
        <v>0.86990451333424068</v>
      </c>
      <c r="S12">
        <f>TTEST(F12:F16,G12:G16,2,2)</f>
        <v>0.93439095688089624</v>
      </c>
      <c r="W12">
        <f>TTEST(J12:J16,K12:K16,2,2)</f>
        <v>0.14357278370132265</v>
      </c>
    </row>
    <row r="13" spans="1:23" x14ac:dyDescent="0.3">
      <c r="A13" s="13" t="s">
        <v>1</v>
      </c>
      <c r="B13" s="4">
        <v>2.4780206279088439</v>
      </c>
      <c r="C13" s="4">
        <v>2.4055290698938201</v>
      </c>
      <c r="D13" s="4">
        <v>2.2443100171281412</v>
      </c>
      <c r="E13" s="4">
        <v>2.3759532383102684</v>
      </c>
      <c r="F13" s="4">
        <v>1.4594443930263761</v>
      </c>
      <c r="G13" s="4">
        <v>1.4572678590935531</v>
      </c>
      <c r="H13" s="4">
        <v>1.0723093992186581</v>
      </c>
      <c r="I13" s="4">
        <v>1.3296738837795292</v>
      </c>
      <c r="J13" s="4">
        <v>0.80858834036443561</v>
      </c>
      <c r="K13" s="4">
        <v>0.93820772392750307</v>
      </c>
      <c r="L13" s="4">
        <v>0.95361055492036395</v>
      </c>
      <c r="M13" s="4">
        <v>0.90013553973743432</v>
      </c>
      <c r="O13">
        <f>TTEST(B12:B16,D12:D16,2,2)</f>
        <v>0.55540324382082074</v>
      </c>
      <c r="S13">
        <f>TTEST(F12:F16,H12:H16,2,2)</f>
        <v>0.41269215893837519</v>
      </c>
      <c r="W13">
        <f>TTEST(J12:J16,L12:L16,2,2)</f>
        <v>9.3799446215866236E-2</v>
      </c>
    </row>
    <row r="14" spans="1:23" x14ac:dyDescent="0.3">
      <c r="A14" s="15" t="s">
        <v>51</v>
      </c>
      <c r="B14" s="4">
        <v>6.1186485921999969</v>
      </c>
      <c r="C14" s="4">
        <v>5.6857997265737739</v>
      </c>
      <c r="D14" s="4">
        <v>5.4067566338320212</v>
      </c>
      <c r="E14" s="4">
        <v>5.7370683175352637</v>
      </c>
      <c r="F14" s="4">
        <v>4.2180903189697263</v>
      </c>
      <c r="G14" s="4">
        <v>3.918979639333275</v>
      </c>
      <c r="H14" s="4">
        <v>3.557860716889099</v>
      </c>
      <c r="I14" s="4">
        <v>3.8983102250640336</v>
      </c>
      <c r="J14" s="4">
        <v>-0.1041717351781395</v>
      </c>
      <c r="K14" s="4">
        <v>0.65179680575285759</v>
      </c>
      <c r="L14" s="4">
        <v>0.7285586246805732</v>
      </c>
      <c r="M14" s="4">
        <v>0.42539456508509715</v>
      </c>
      <c r="O14">
        <f>TTEST(C12:C16,D12:D16,2,2)</f>
        <v>0.62338066268216874</v>
      </c>
      <c r="S14">
        <f>TTEST(G12:G16,H12:H16,2,2)</f>
        <v>0.38453131383602868</v>
      </c>
      <c r="W14">
        <f>TTEST(K12:K16,L12:L16,2,2)</f>
        <v>0.37402244883092484</v>
      </c>
    </row>
    <row r="15" spans="1:23" x14ac:dyDescent="0.3">
      <c r="A15" s="17" t="s">
        <v>3</v>
      </c>
      <c r="B15" s="4">
        <v>7.9999676164344562</v>
      </c>
      <c r="C15" s="4">
        <v>6.0767821984060788</v>
      </c>
      <c r="D15" s="4">
        <v>5.0440308607923328</v>
      </c>
      <c r="E15" s="4">
        <v>6.3735935585442896</v>
      </c>
      <c r="F15" s="4">
        <v>5.4857680000000002</v>
      </c>
      <c r="G15" s="4">
        <v>3.9211614712772458</v>
      </c>
      <c r="H15" s="4">
        <v>2.892683633761747</v>
      </c>
      <c r="I15" s="4">
        <v>4.0998710350129981</v>
      </c>
      <c r="J15" s="4">
        <v>-0.88756563055399496</v>
      </c>
      <c r="K15" s="4">
        <v>0.60226210046594453</v>
      </c>
      <c r="L15" s="4">
        <v>0.76375758496858559</v>
      </c>
      <c r="M15" s="4">
        <v>0.1594846849601784</v>
      </c>
    </row>
    <row r="16" spans="1:23" x14ac:dyDescent="0.3">
      <c r="A16" s="19" t="s">
        <v>4</v>
      </c>
      <c r="B16" s="4">
        <v>4.1972665327909606</v>
      </c>
      <c r="C16" s="4">
        <v>5.6045169518598046</v>
      </c>
      <c r="D16" s="4">
        <v>4.5811166468635731</v>
      </c>
      <c r="E16" s="4">
        <v>4.7943000438381125</v>
      </c>
      <c r="F16" s="4">
        <v>2.7102933473129269</v>
      </c>
      <c r="G16" s="4">
        <v>4.0672740507781828</v>
      </c>
      <c r="H16" s="4">
        <v>2.6169642965314641</v>
      </c>
      <c r="I16" s="4">
        <v>3.131510564874191</v>
      </c>
      <c r="J16" s="4">
        <v>0.48041249353112347</v>
      </c>
      <c r="K16" s="4">
        <v>0.6616812960229197</v>
      </c>
      <c r="L16" s="4">
        <v>0.80512994673629734</v>
      </c>
      <c r="M16" s="4">
        <v>0.64907457876344676</v>
      </c>
    </row>
    <row r="18" spans="2:13" x14ac:dyDescent="0.3">
      <c r="B18">
        <f>TTEST(B4:B8,B12:B16,2,2)</f>
        <v>0.99042947266231773</v>
      </c>
      <c r="C18">
        <f t="shared" ref="C18:M18" si="0">TTEST(C4:C8,C12:C16,2,2)</f>
        <v>0.38635563472377732</v>
      </c>
      <c r="D18">
        <f t="shared" si="0"/>
        <v>0.40397252159519037</v>
      </c>
      <c r="E18">
        <f t="shared" si="0"/>
        <v>0.52553354280274056</v>
      </c>
      <c r="F18">
        <f t="shared" si="0"/>
        <v>0.9498510673952536</v>
      </c>
      <c r="G18">
        <f t="shared" si="0"/>
        <v>0.3064757207730866</v>
      </c>
      <c r="H18">
        <f t="shared" si="0"/>
        <v>0.29577268253550204</v>
      </c>
      <c r="I18">
        <f t="shared" si="0"/>
        <v>0.41006465702662998</v>
      </c>
      <c r="J18">
        <f t="shared" si="0"/>
        <v>0.31265765111796434</v>
      </c>
      <c r="K18">
        <f t="shared" si="0"/>
        <v>0.25922438894496957</v>
      </c>
      <c r="L18">
        <f t="shared" si="0"/>
        <v>0.40808731750304783</v>
      </c>
      <c r="M18">
        <f t="shared" si="0"/>
        <v>0.94555256540804966</v>
      </c>
    </row>
  </sheetData>
  <mergeCells count="8">
    <mergeCell ref="A1:M1"/>
    <mergeCell ref="A9:M9"/>
    <mergeCell ref="B10:E10"/>
    <mergeCell ref="F10:I10"/>
    <mergeCell ref="J10:M10"/>
    <mergeCell ref="B2:E2"/>
    <mergeCell ref="F2:I2"/>
    <mergeCell ref="J2:M2"/>
  </mergeCells>
  <conditionalFormatting sqref="B4:E8">
    <cfRule type="colorScale" priority="6">
      <colorScale>
        <cfvo type="min"/>
        <cfvo type="max"/>
        <color theme="0"/>
        <color rgb="FFFF5050"/>
      </colorScale>
    </cfRule>
  </conditionalFormatting>
  <conditionalFormatting sqref="F4:I8">
    <cfRule type="colorScale" priority="5">
      <colorScale>
        <cfvo type="min"/>
        <cfvo type="max"/>
        <color theme="0"/>
        <color rgb="FFFF5050"/>
      </colorScale>
    </cfRule>
  </conditionalFormatting>
  <conditionalFormatting sqref="J4:M8">
    <cfRule type="colorScale" priority="4">
      <colorScale>
        <cfvo type="min"/>
        <cfvo type="max"/>
        <color rgb="FFFF5050"/>
        <color theme="0"/>
      </colorScale>
    </cfRule>
  </conditionalFormatting>
  <conditionalFormatting sqref="B12:E16">
    <cfRule type="colorScale" priority="3">
      <colorScale>
        <cfvo type="min"/>
        <cfvo type="max"/>
        <color theme="0"/>
        <color rgb="FFFF5050"/>
      </colorScale>
    </cfRule>
  </conditionalFormatting>
  <conditionalFormatting sqref="F12:I16">
    <cfRule type="colorScale" priority="2">
      <colorScale>
        <cfvo type="min"/>
        <cfvo type="max"/>
        <color theme="0"/>
        <color rgb="FFFF5050"/>
      </colorScale>
    </cfRule>
  </conditionalFormatting>
  <conditionalFormatting sqref="J12:M16">
    <cfRule type="colorScale" priority="1">
      <colorScale>
        <cfvo type="min"/>
        <cfvo type="max"/>
        <color rgb="FFFF5050"/>
        <color theme="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DB40-FE70-4D47-8AF4-0AC46DFB4898}">
  <dimension ref="A2:F11"/>
  <sheetViews>
    <sheetView workbookViewId="0">
      <selection activeCell="A2" sqref="A2"/>
    </sheetView>
  </sheetViews>
  <sheetFormatPr defaultRowHeight="14.4" x14ac:dyDescent="0.3"/>
  <cols>
    <col min="1" max="1" width="14" bestFit="1" customWidth="1"/>
    <col min="2" max="3" width="15.33203125" bestFit="1" customWidth="1"/>
    <col min="4" max="4" width="12.77734375" bestFit="1" customWidth="1"/>
  </cols>
  <sheetData>
    <row r="2" spans="1:6" x14ac:dyDescent="0.3">
      <c r="A2" t="s">
        <v>52</v>
      </c>
      <c r="B2" s="6">
        <v>0.15210648148148148</v>
      </c>
      <c r="C2" s="6">
        <v>0.1522337962962963</v>
      </c>
      <c r="D2" s="6">
        <f>C2-B2</f>
        <v>1.2731481481481621E-4</v>
      </c>
      <c r="E2">
        <v>11</v>
      </c>
    </row>
    <row r="3" spans="1:6" x14ac:dyDescent="0.3">
      <c r="A3" t="s">
        <v>1</v>
      </c>
      <c r="B3" s="8">
        <v>45730.152233796296</v>
      </c>
      <c r="C3" s="8">
        <v>45730.159791666665</v>
      </c>
      <c r="D3" s="6">
        <f>C3-B3</f>
        <v>7.5578703690553084E-3</v>
      </c>
      <c r="E3">
        <f>10*60+53</f>
        <v>653</v>
      </c>
    </row>
    <row r="4" spans="1:6" x14ac:dyDescent="0.3">
      <c r="A4" t="s">
        <v>51</v>
      </c>
      <c r="B4" s="8">
        <v>45730.159791666665</v>
      </c>
      <c r="C4" s="8">
        <v>45730.194768518515</v>
      </c>
      <c r="D4" s="6">
        <f>C4-B4</f>
        <v>3.4976851849933155E-2</v>
      </c>
      <c r="E4">
        <f>48*60+49</f>
        <v>2929</v>
      </c>
    </row>
    <row r="5" spans="1:6" x14ac:dyDescent="0.3">
      <c r="A5" t="s">
        <v>53</v>
      </c>
      <c r="B5" s="8">
        <v>45730.194768518515</v>
      </c>
      <c r="C5" s="8">
        <v>45730.211284722223</v>
      </c>
      <c r="D5">
        <v>9280</v>
      </c>
      <c r="E5">
        <f>SUM(D5:D6)</f>
        <v>29560</v>
      </c>
      <c r="F5">
        <f>C5-B5</f>
        <v>1.6516203708306421E-2</v>
      </c>
    </row>
    <row r="6" spans="1:6" x14ac:dyDescent="0.3">
      <c r="A6" t="s">
        <v>54</v>
      </c>
      <c r="B6" s="7">
        <v>45728.435162037036</v>
      </c>
      <c r="C6" s="7">
        <v>45728.669618055559</v>
      </c>
      <c r="D6">
        <v>20280</v>
      </c>
    </row>
    <row r="7" spans="1:6" x14ac:dyDescent="0.3">
      <c r="B7" s="8">
        <v>45729.779351851852</v>
      </c>
      <c r="C7" s="8">
        <v>45729.784444444442</v>
      </c>
      <c r="D7">
        <v>420</v>
      </c>
    </row>
    <row r="8" spans="1:6" x14ac:dyDescent="0.3">
      <c r="B8" s="8">
        <v>45729.858622685184</v>
      </c>
      <c r="C8" s="8">
        <v>45729.863229166665</v>
      </c>
      <c r="D8">
        <v>420</v>
      </c>
    </row>
    <row r="9" spans="1:6" x14ac:dyDescent="0.3">
      <c r="B9" s="8">
        <v>45729.936863425923</v>
      </c>
      <c r="C9" s="8">
        <v>45729.942060185182</v>
      </c>
      <c r="D9">
        <v>420</v>
      </c>
    </row>
    <row r="11" spans="1:6" x14ac:dyDescent="0.3">
      <c r="B11" s="8">
        <v>45730.211284722223</v>
      </c>
      <c r="C11" s="8">
        <v>45730.223773148151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F2F0-FA38-453E-8C4B-784DB7CE81B3}">
  <dimension ref="A1:R15"/>
  <sheetViews>
    <sheetView workbookViewId="0">
      <selection activeCell="K15" sqref="K15"/>
    </sheetView>
  </sheetViews>
  <sheetFormatPr defaultRowHeight="14.4" x14ac:dyDescent="0.3"/>
  <cols>
    <col min="1" max="1" width="24.6640625" customWidth="1"/>
    <col min="2" max="2" width="10.21875" bestFit="1" customWidth="1"/>
    <col min="3" max="3" width="11.21875" bestFit="1" customWidth="1"/>
    <col min="4" max="4" width="9.109375" bestFit="1" customWidth="1"/>
    <col min="5" max="5" width="10.21875" bestFit="1" customWidth="1"/>
    <col min="6" max="6" width="11.21875" bestFit="1" customWidth="1"/>
    <col min="7" max="7" width="9.109375" bestFit="1" customWidth="1"/>
    <col min="8" max="8" width="10.21875" bestFit="1" customWidth="1"/>
    <col min="9" max="9" width="11.21875" bestFit="1" customWidth="1"/>
    <col min="10" max="10" width="9.109375" bestFit="1" customWidth="1"/>
  </cols>
  <sheetData>
    <row r="1" spans="1:18" x14ac:dyDescent="0.3">
      <c r="A1" s="3"/>
      <c r="B1" s="9" t="s">
        <v>12</v>
      </c>
      <c r="C1" s="9"/>
      <c r="D1" s="9"/>
      <c r="E1" s="9" t="s">
        <v>13</v>
      </c>
      <c r="F1" s="9"/>
      <c r="G1" s="9"/>
      <c r="H1" s="9" t="s">
        <v>55</v>
      </c>
      <c r="I1" s="9"/>
      <c r="J1" s="9"/>
    </row>
    <row r="2" spans="1:18" x14ac:dyDescent="0.3">
      <c r="A2" s="3"/>
      <c r="B2" s="3" t="s">
        <v>15</v>
      </c>
      <c r="C2" s="3" t="s">
        <v>56</v>
      </c>
      <c r="D2" s="3" t="s">
        <v>10</v>
      </c>
      <c r="E2" s="3" t="s">
        <v>15</v>
      </c>
      <c r="F2" s="3" t="s">
        <v>56</v>
      </c>
      <c r="G2" s="3" t="s">
        <v>10</v>
      </c>
      <c r="H2" s="3" t="s">
        <v>15</v>
      </c>
      <c r="I2" s="3" t="s">
        <v>56</v>
      </c>
      <c r="J2" s="3" t="s">
        <v>10</v>
      </c>
    </row>
    <row r="3" spans="1:18" x14ac:dyDescent="0.3">
      <c r="A3" s="10" t="s">
        <v>52</v>
      </c>
      <c r="B3" s="5">
        <v>2.128178046673578</v>
      </c>
      <c r="C3" s="5">
        <v>2.2640650425011639</v>
      </c>
      <c r="D3" s="5">
        <v>2.2928113158625121</v>
      </c>
      <c r="E3" s="5">
        <v>1.0494413632082391</v>
      </c>
      <c r="F3" s="5">
        <v>1.2677158804063025</v>
      </c>
      <c r="G3" s="5">
        <v>1.3408079876367174</v>
      </c>
      <c r="H3" s="5">
        <v>0.96628285341274633</v>
      </c>
      <c r="I3" s="5">
        <v>0.93554011813230997</v>
      </c>
      <c r="J3" s="5">
        <v>0.90331163971070294</v>
      </c>
      <c r="L3">
        <f>TTEST(B3:B7,C3:C7,2,1)</f>
        <v>4.6821359916214722E-2</v>
      </c>
      <c r="O3">
        <f>TTEST(E3:E7,F3:F7,2,1)</f>
        <v>3.2673981174790354E-2</v>
      </c>
      <c r="R3">
        <f>TTEST(H3:H7,I3:I7,2,1)</f>
        <v>3.8788363308736876E-2</v>
      </c>
    </row>
    <row r="4" spans="1:18" x14ac:dyDescent="0.3">
      <c r="A4" s="13" t="s">
        <v>1</v>
      </c>
      <c r="B4" s="5">
        <v>2.207589209059218</v>
      </c>
      <c r="C4" s="5">
        <v>2.5181998556131502</v>
      </c>
      <c r="D4" s="5">
        <v>2.3759532383102684</v>
      </c>
      <c r="E4" s="5">
        <v>0.94907410659893265</v>
      </c>
      <c r="F4" s="5">
        <v>1.3047562632098155</v>
      </c>
      <c r="G4" s="5">
        <v>1.3296738837795292</v>
      </c>
      <c r="H4" s="5">
        <v>0.9637196539076307</v>
      </c>
      <c r="I4" s="5">
        <v>0.91952336590714001</v>
      </c>
      <c r="J4" s="5">
        <v>0.90013553973743432</v>
      </c>
      <c r="L4">
        <f>TTEST(B3:B7,D3:D7,2,1)</f>
        <v>6.1703091379853345E-2</v>
      </c>
      <c r="O4">
        <f>TTEST(E3:E7,G3:G7,2,1)</f>
        <v>4.0113748053945769E-2</v>
      </c>
      <c r="R4">
        <f>TTEST(H3:H7,J3:J7,2,1)</f>
        <v>6.6345020833634555E-2</v>
      </c>
    </row>
    <row r="5" spans="1:18" x14ac:dyDescent="0.3">
      <c r="A5" s="15" t="s">
        <v>51</v>
      </c>
      <c r="B5" s="5">
        <v>2.663214627042779</v>
      </c>
      <c r="C5" s="5">
        <v>5.0437205099435367</v>
      </c>
      <c r="D5" s="5">
        <v>5.7370683175352637</v>
      </c>
      <c r="E5" s="5">
        <v>1.312878448217691</v>
      </c>
      <c r="F5" s="5">
        <v>3.2442596521586662</v>
      </c>
      <c r="G5" s="5">
        <v>3.8983102250640336</v>
      </c>
      <c r="H5" s="5">
        <v>0.9468744235867097</v>
      </c>
      <c r="I5" s="5">
        <v>0.69622008587264839</v>
      </c>
      <c r="J5" s="5">
        <v>0.42539456508509715</v>
      </c>
      <c r="L5">
        <f>TTEST(C3:C7,D3:D7,2,1)</f>
        <v>0.2161314264414389</v>
      </c>
      <c r="O5">
        <f>TTEST(F3:F7,G3:G7,2,1)</f>
        <v>0.12873471777554868</v>
      </c>
      <c r="R5">
        <f>TTEST(I3:I7,J3:J7,2,1)</f>
        <v>0.11476757705423496</v>
      </c>
    </row>
    <row r="6" spans="1:18" x14ac:dyDescent="0.3">
      <c r="A6" s="17" t="s">
        <v>3</v>
      </c>
      <c r="B6" s="5">
        <v>2.837321868384854</v>
      </c>
      <c r="C6" s="5">
        <v>5.4623510188892332</v>
      </c>
      <c r="D6" s="5">
        <v>6.3735935585442896</v>
      </c>
      <c r="E6" s="5">
        <v>1.461685608320521</v>
      </c>
      <c r="F6" s="5">
        <v>3.1733315185276467</v>
      </c>
      <c r="G6" s="5">
        <v>4.0998710350129981</v>
      </c>
      <c r="H6" s="5">
        <v>0.93970121920264327</v>
      </c>
      <c r="I6" s="5">
        <v>0.62850206019223809</v>
      </c>
      <c r="J6" s="5">
        <v>0.1594846849601784</v>
      </c>
    </row>
    <row r="7" spans="1:18" x14ac:dyDescent="0.3">
      <c r="A7" s="19" t="s">
        <v>4</v>
      </c>
      <c r="B7" s="5">
        <v>2.568287972462524</v>
      </c>
      <c r="C7" s="5">
        <v>4.7578090316455341</v>
      </c>
      <c r="D7" s="5">
        <v>4.7943000438381125</v>
      </c>
      <c r="E7" s="5">
        <v>1.342753732703682</v>
      </c>
      <c r="F7" s="5">
        <v>3.0500334413986221</v>
      </c>
      <c r="G7" s="5">
        <v>3.131510564874191</v>
      </c>
      <c r="H7" s="5">
        <v>0.95059410668617905</v>
      </c>
      <c r="I7" s="5">
        <v>0.72702783986326069</v>
      </c>
      <c r="J7" s="5">
        <v>0.64907457876344676</v>
      </c>
    </row>
    <row r="9" spans="1:18" x14ac:dyDescent="0.3">
      <c r="A9" s="3"/>
    </row>
    <row r="10" spans="1:18" x14ac:dyDescent="0.3">
      <c r="A10" s="3"/>
    </row>
    <row r="11" spans="1:18" x14ac:dyDescent="0.3">
      <c r="A11" s="2"/>
    </row>
    <row r="12" spans="1:18" x14ac:dyDescent="0.3">
      <c r="A12" s="2"/>
    </row>
    <row r="13" spans="1:18" x14ac:dyDescent="0.3">
      <c r="A13" s="2"/>
    </row>
    <row r="14" spans="1:18" x14ac:dyDescent="0.3">
      <c r="A14" s="2"/>
    </row>
    <row r="15" spans="1:18" x14ac:dyDescent="0.3">
      <c r="A15" s="2"/>
    </row>
  </sheetData>
  <mergeCells count="3">
    <mergeCell ref="B1:D1"/>
    <mergeCell ref="E1:G1"/>
    <mergeCell ref="H1:J1"/>
  </mergeCells>
  <conditionalFormatting sqref="B3:D7">
    <cfRule type="colorScale" priority="6">
      <colorScale>
        <cfvo type="min"/>
        <cfvo type="max"/>
        <color theme="0"/>
        <color rgb="FFFF5050"/>
      </colorScale>
    </cfRule>
    <cfRule type="colorScale" priority="3">
      <colorScale>
        <cfvo type="min"/>
        <cfvo type="max"/>
        <color theme="9" tint="0.39997558519241921"/>
        <color theme="0"/>
      </colorScale>
    </cfRule>
  </conditionalFormatting>
  <conditionalFormatting sqref="E3:G7">
    <cfRule type="colorScale" priority="5">
      <colorScale>
        <cfvo type="min"/>
        <cfvo type="max"/>
        <color theme="0"/>
        <color rgb="FFFF5050"/>
      </colorScale>
    </cfRule>
    <cfRule type="colorScale" priority="2">
      <colorScale>
        <cfvo type="min"/>
        <cfvo type="max"/>
        <color theme="9" tint="0.39997558519241921"/>
        <color theme="0"/>
      </colorScale>
    </cfRule>
  </conditionalFormatting>
  <conditionalFormatting sqref="H3:J7">
    <cfRule type="colorScale" priority="4">
      <colorScale>
        <cfvo type="min"/>
        <cfvo type="max"/>
        <color rgb="FFFF5050"/>
        <color theme="0"/>
      </colorScale>
    </cfRule>
    <cfRule type="colorScale" priority="1">
      <colorScale>
        <cfvo type="min"/>
        <cfvo type="max"/>
        <color theme="0"/>
        <color theme="9" tint="0.39997558519241921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14DB-FAC8-4704-8981-315012BF51AC}">
  <dimension ref="A2:D16"/>
  <sheetViews>
    <sheetView zoomScale="85" zoomScaleNormal="85" workbookViewId="0">
      <selection activeCell="I30" sqref="I30"/>
    </sheetView>
  </sheetViews>
  <sheetFormatPr defaultRowHeight="14.4" x14ac:dyDescent="0.3"/>
  <cols>
    <col min="1" max="1" width="24.6640625" customWidth="1"/>
  </cols>
  <sheetData>
    <row r="2" spans="1:4" x14ac:dyDescent="0.3">
      <c r="A2" s="3"/>
    </row>
    <row r="3" spans="1:4" ht="15.6" x14ac:dyDescent="0.3">
      <c r="A3" s="3"/>
      <c r="B3" t="s">
        <v>12</v>
      </c>
      <c r="C3" t="s">
        <v>13</v>
      </c>
      <c r="D3" s="11" t="s">
        <v>55</v>
      </c>
    </row>
    <row r="4" spans="1:4" x14ac:dyDescent="0.3">
      <c r="A4" s="10" t="s">
        <v>52</v>
      </c>
      <c r="B4" s="5">
        <v>2.128178046673578</v>
      </c>
      <c r="C4" s="5">
        <v>1.0494413632082391</v>
      </c>
      <c r="D4" s="5">
        <v>0.96628285341274633</v>
      </c>
    </row>
    <row r="5" spans="1:4" x14ac:dyDescent="0.3">
      <c r="A5" s="13" t="s">
        <v>1</v>
      </c>
      <c r="B5" s="5">
        <v>2.207589209059218</v>
      </c>
      <c r="C5" s="5">
        <v>0.94907410659893265</v>
      </c>
      <c r="D5" s="5">
        <v>0.9637196539076307</v>
      </c>
    </row>
    <row r="6" spans="1:4" x14ac:dyDescent="0.3">
      <c r="A6" s="15" t="s">
        <v>51</v>
      </c>
      <c r="B6" s="5">
        <v>2.663214627042779</v>
      </c>
      <c r="C6" s="5">
        <v>1.312878448217691</v>
      </c>
      <c r="D6" s="5">
        <v>0.9468744235867097</v>
      </c>
    </row>
    <row r="7" spans="1:4" x14ac:dyDescent="0.3">
      <c r="A7" s="17" t="s">
        <v>3</v>
      </c>
      <c r="B7" s="5">
        <v>2.837321868384854</v>
      </c>
      <c r="C7" s="5">
        <v>1.461685608320521</v>
      </c>
      <c r="D7" s="5">
        <v>0.93970121920264327</v>
      </c>
    </row>
    <row r="8" spans="1:4" x14ac:dyDescent="0.3">
      <c r="A8" s="19" t="s">
        <v>4</v>
      </c>
      <c r="B8" s="5">
        <v>2.568287972462524</v>
      </c>
      <c r="C8" s="5">
        <v>1.342753732703682</v>
      </c>
      <c r="D8" s="5">
        <v>0.95059410668617905</v>
      </c>
    </row>
    <row r="10" spans="1:4" x14ac:dyDescent="0.3">
      <c r="A10" s="3"/>
    </row>
    <row r="11" spans="1:4" x14ac:dyDescent="0.3">
      <c r="A11" s="3"/>
    </row>
    <row r="12" spans="1:4" x14ac:dyDescent="0.3">
      <c r="A12" s="2"/>
    </row>
    <row r="13" spans="1:4" x14ac:dyDescent="0.3">
      <c r="A13" s="2"/>
    </row>
    <row r="14" spans="1:4" x14ac:dyDescent="0.3">
      <c r="A14" s="2"/>
    </row>
    <row r="15" spans="1:4" x14ac:dyDescent="0.3">
      <c r="A15" s="2"/>
    </row>
    <row r="16" spans="1:4" x14ac:dyDescent="0.3">
      <c r="A16" s="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4A34-AA82-4CB2-B9A0-78FC7943A6C8}">
  <dimension ref="A1:C9"/>
  <sheetViews>
    <sheetView zoomScale="145" zoomScaleNormal="145" workbookViewId="0">
      <selection activeCell="B9" sqref="B9"/>
    </sheetView>
  </sheetViews>
  <sheetFormatPr defaultRowHeight="14.4" x14ac:dyDescent="0.3"/>
  <cols>
    <col min="1" max="1" width="44.6640625" style="2" customWidth="1"/>
    <col min="2" max="2" width="103.21875" style="2" customWidth="1"/>
    <col min="3" max="3" width="12.109375" bestFit="1" customWidth="1"/>
  </cols>
  <sheetData>
    <row r="1" spans="1:3" x14ac:dyDescent="0.3">
      <c r="A1" s="2" t="s">
        <v>37</v>
      </c>
      <c r="B1" s="2" t="s">
        <v>38</v>
      </c>
    </row>
    <row r="2" spans="1:3" x14ac:dyDescent="0.3">
      <c r="A2" s="2" t="s">
        <v>36</v>
      </c>
      <c r="B2" s="2" t="s">
        <v>40</v>
      </c>
      <c r="C2" t="s">
        <v>41</v>
      </c>
    </row>
    <row r="3" spans="1:3" ht="100.8" x14ac:dyDescent="0.3">
      <c r="A3" s="2" t="s">
        <v>39</v>
      </c>
      <c r="B3" s="2" t="s">
        <v>42</v>
      </c>
      <c r="C3" t="s">
        <v>41</v>
      </c>
    </row>
    <row r="6" spans="1:3" x14ac:dyDescent="0.3">
      <c r="A6" s="2" t="s">
        <v>43</v>
      </c>
      <c r="B6" s="2" t="s">
        <v>44</v>
      </c>
    </row>
    <row r="7" spans="1:3" x14ac:dyDescent="0.3">
      <c r="A7" s="2" t="s">
        <v>45</v>
      </c>
      <c r="B7" s="2" t="s">
        <v>46</v>
      </c>
    </row>
    <row r="8" spans="1:3" x14ac:dyDescent="0.3">
      <c r="A8" s="2" t="s">
        <v>47</v>
      </c>
      <c r="B8" s="2" t="s">
        <v>48</v>
      </c>
    </row>
    <row r="9" spans="1:3" x14ac:dyDescent="0.3">
      <c r="A9" s="2" t="s">
        <v>49</v>
      </c>
      <c r="B9" s="2" t="s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85F1-C09F-4B9B-B11E-3452D0079D61}">
  <dimension ref="C1:J27"/>
  <sheetViews>
    <sheetView tabSelected="1" topLeftCell="A2" workbookViewId="0">
      <selection activeCell="N3" sqref="N3"/>
    </sheetView>
  </sheetViews>
  <sheetFormatPr defaultRowHeight="14.4" x14ac:dyDescent="0.3"/>
  <cols>
    <col min="3" max="3" width="14.109375" bestFit="1" customWidth="1"/>
  </cols>
  <sheetData>
    <row r="1" spans="3:10" ht="43.2" x14ac:dyDescent="0.3">
      <c r="E1" s="2" t="s">
        <v>35</v>
      </c>
      <c r="F1" s="10" t="s">
        <v>52</v>
      </c>
      <c r="G1" s="13" t="s">
        <v>1</v>
      </c>
      <c r="H1" s="15" t="s">
        <v>51</v>
      </c>
      <c r="I1" s="17" t="s">
        <v>3</v>
      </c>
      <c r="J1" s="19" t="s">
        <v>4</v>
      </c>
    </row>
    <row r="2" spans="3:10" x14ac:dyDescent="0.3">
      <c r="C2" t="s">
        <v>7</v>
      </c>
      <c r="E2" s="2">
        <v>4.5197021295551201</v>
      </c>
      <c r="F2">
        <v>2.1281780466735798</v>
      </c>
      <c r="G2">
        <v>2.207589209059218</v>
      </c>
      <c r="H2">
        <v>2.663214627042779</v>
      </c>
      <c r="I2">
        <v>2.837321868384854</v>
      </c>
      <c r="J2">
        <v>2.568287972462524</v>
      </c>
    </row>
    <row r="3" spans="3:10" x14ac:dyDescent="0.3">
      <c r="C3" t="s">
        <v>8</v>
      </c>
      <c r="E3">
        <v>4.5197021295551183</v>
      </c>
      <c r="F3">
        <v>2.105562013930288</v>
      </c>
      <c r="G3">
        <v>2.2510727036333349</v>
      </c>
      <c r="H3">
        <v>2.769152041163284</v>
      </c>
      <c r="I3">
        <v>2.7449080347887702</v>
      </c>
      <c r="J3">
        <v>2.5303852308873829</v>
      </c>
    </row>
    <row r="4" spans="3:10" x14ac:dyDescent="0.3">
      <c r="C4" t="s">
        <v>57</v>
      </c>
      <c r="E4" s="2">
        <v>7.8820958553246259</v>
      </c>
      <c r="F4" s="2">
        <v>2.2981770818235088</v>
      </c>
      <c r="G4" s="2">
        <v>2.3352707322188273</v>
      </c>
      <c r="H4" s="2">
        <v>6.0375504554926405</v>
      </c>
      <c r="I4" s="2">
        <v>11.361428245732366</v>
      </c>
      <c r="J4" s="2">
        <v>5.9549307792865864</v>
      </c>
    </row>
    <row r="5" spans="3:10" x14ac:dyDescent="0.3">
      <c r="C5" t="s">
        <v>56</v>
      </c>
      <c r="E5" s="2">
        <v>8.3502835858179676</v>
      </c>
      <c r="F5" s="2">
        <v>2.2640650425011639</v>
      </c>
      <c r="G5" s="2">
        <v>2.5181998556131502</v>
      </c>
      <c r="H5" s="2">
        <v>5.0437205099435367</v>
      </c>
      <c r="I5" s="2">
        <v>5.4623510188892332</v>
      </c>
      <c r="J5" s="2">
        <v>4.7578090316455341</v>
      </c>
    </row>
    <row r="6" spans="3:10" x14ac:dyDescent="0.3">
      <c r="C6" t="s">
        <v>9</v>
      </c>
      <c r="E6" s="2">
        <v>8.4700113001793103</v>
      </c>
      <c r="F6" s="2">
        <v>2.0503344676235664</v>
      </c>
      <c r="G6" s="2">
        <v>2.1745480191730437</v>
      </c>
      <c r="H6" s="2">
        <v>9.5311051900475423</v>
      </c>
      <c r="I6" s="2">
        <v>7.1218391851233251</v>
      </c>
      <c r="J6" s="2">
        <v>6.2872529723779467</v>
      </c>
    </row>
    <row r="7" spans="3:10" x14ac:dyDescent="0.3">
      <c r="C7" t="s">
        <v>10</v>
      </c>
      <c r="E7" s="2">
        <v>7.4542098677794399</v>
      </c>
      <c r="F7" s="2">
        <v>2.2928113158625121</v>
      </c>
      <c r="G7" s="2">
        <v>2.3759532383102684</v>
      </c>
      <c r="H7" s="2">
        <v>5.7370683175352637</v>
      </c>
      <c r="I7" s="2">
        <v>6.3735935585442896</v>
      </c>
      <c r="J7" s="2">
        <v>4.7943000438381125</v>
      </c>
    </row>
    <row r="8" spans="3:10" x14ac:dyDescent="0.3">
      <c r="E8" s="2"/>
      <c r="F8" s="2"/>
      <c r="G8" s="2"/>
      <c r="H8" s="2"/>
      <c r="I8" s="2"/>
      <c r="J8" s="2"/>
    </row>
    <row r="9" spans="3:10" x14ac:dyDescent="0.3">
      <c r="E9" s="2"/>
      <c r="F9" s="2"/>
      <c r="G9" s="2"/>
      <c r="H9" s="2"/>
      <c r="I9" s="2"/>
      <c r="J9" s="2"/>
    </row>
    <row r="10" spans="3:10" x14ac:dyDescent="0.3">
      <c r="E10" s="2"/>
      <c r="F10" s="2"/>
      <c r="G10" s="2"/>
      <c r="H10" s="2"/>
      <c r="I10" s="2"/>
      <c r="J10" s="2"/>
    </row>
    <row r="11" spans="3:10" x14ac:dyDescent="0.3">
      <c r="E11" s="2"/>
      <c r="F11" s="2"/>
      <c r="G11" s="2"/>
      <c r="H11" s="2"/>
      <c r="I11" s="2"/>
      <c r="J11" s="2"/>
    </row>
    <row r="12" spans="3:10" x14ac:dyDescent="0.3">
      <c r="E12" s="2"/>
      <c r="F12" s="2"/>
      <c r="G12" s="2"/>
      <c r="H12" s="2"/>
      <c r="I12" s="2"/>
      <c r="J12" s="2"/>
    </row>
    <row r="13" spans="3:10" x14ac:dyDescent="0.3">
      <c r="E13" s="2"/>
      <c r="F13" s="2"/>
      <c r="G13" s="2"/>
      <c r="H13" s="2"/>
      <c r="I13" s="2"/>
      <c r="J13" s="2"/>
    </row>
    <row r="14" spans="3:10" x14ac:dyDescent="0.3">
      <c r="E14" s="2"/>
      <c r="F14" s="2"/>
      <c r="G14" s="2"/>
      <c r="H14" s="2"/>
      <c r="I14" s="2"/>
      <c r="J14" s="2"/>
    </row>
    <row r="15" spans="3:10" x14ac:dyDescent="0.3">
      <c r="E15" s="2"/>
      <c r="F15" s="2"/>
      <c r="G15" s="2"/>
      <c r="H15" s="2"/>
      <c r="I15" s="2"/>
      <c r="J15" s="2"/>
    </row>
    <row r="16" spans="3:10" x14ac:dyDescent="0.3">
      <c r="E16" s="2"/>
      <c r="F16" s="2"/>
      <c r="G16" s="2"/>
      <c r="H16" s="2"/>
      <c r="I16" s="2"/>
      <c r="J16" s="2"/>
    </row>
    <row r="17" spans="5:10" x14ac:dyDescent="0.3">
      <c r="E17" s="2"/>
      <c r="F17" s="2"/>
      <c r="G17" s="2"/>
      <c r="H17" s="2"/>
      <c r="I17" s="2"/>
      <c r="J17" s="2"/>
    </row>
    <row r="18" spans="5:10" x14ac:dyDescent="0.3">
      <c r="E18" s="2"/>
      <c r="F18" s="2"/>
      <c r="G18" s="2"/>
      <c r="H18" s="2"/>
      <c r="I18" s="2"/>
      <c r="J18" s="2"/>
    </row>
    <row r="19" spans="5:10" x14ac:dyDescent="0.3">
      <c r="E19" s="2"/>
      <c r="F19" s="2"/>
      <c r="G19" s="2"/>
      <c r="H19" s="2"/>
      <c r="I19" s="2"/>
      <c r="J19" s="2"/>
    </row>
    <row r="20" spans="5:10" x14ac:dyDescent="0.3">
      <c r="E20" s="2"/>
      <c r="F20" s="2"/>
      <c r="G20" s="2"/>
      <c r="H20" s="2"/>
      <c r="I20" s="2"/>
      <c r="J20" s="2"/>
    </row>
    <row r="21" spans="5:10" x14ac:dyDescent="0.3">
      <c r="E21" s="2"/>
      <c r="F21" s="2"/>
      <c r="G21" s="2"/>
      <c r="H21" s="2"/>
      <c r="I21" s="2"/>
      <c r="J21" s="2"/>
    </row>
    <row r="22" spans="5:10" x14ac:dyDescent="0.3">
      <c r="E22" s="2"/>
      <c r="F22" s="2"/>
      <c r="G22" s="2"/>
      <c r="H22" s="2"/>
      <c r="I22" s="2"/>
      <c r="J22" s="2"/>
    </row>
    <row r="23" spans="5:10" x14ac:dyDescent="0.3">
      <c r="E23" s="2"/>
      <c r="F23" s="2"/>
      <c r="G23" s="2"/>
      <c r="H23" s="2"/>
      <c r="I23" s="2"/>
      <c r="J23" s="2"/>
    </row>
    <row r="24" spans="5:10" x14ac:dyDescent="0.3">
      <c r="E24" s="2"/>
      <c r="F24" s="2"/>
      <c r="G24" s="2"/>
      <c r="H24" s="2"/>
      <c r="I24" s="2"/>
      <c r="J24" s="2"/>
    </row>
    <row r="25" spans="5:10" x14ac:dyDescent="0.3">
      <c r="E25" s="2"/>
      <c r="F25" s="2"/>
      <c r="G25" s="2"/>
      <c r="H25" s="2"/>
      <c r="I25" s="2"/>
      <c r="J25" s="2"/>
    </row>
    <row r="26" spans="5:10" x14ac:dyDescent="0.3">
      <c r="E26" s="2"/>
      <c r="F26" s="2"/>
      <c r="G26" s="2"/>
      <c r="H26" s="2"/>
      <c r="I26" s="2"/>
      <c r="J26" s="2"/>
    </row>
    <row r="27" spans="5:10" x14ac:dyDescent="0.3">
      <c r="E27" s="2"/>
      <c r="F27" s="2"/>
      <c r="G27" s="2"/>
      <c r="H27" s="2"/>
      <c r="I27" s="2"/>
      <c r="J2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Sheet10</vt:lpstr>
      <vt:lpstr>Sheet3</vt:lpstr>
      <vt:lpstr>Sheet4</vt:lpstr>
      <vt:lpstr>Sheet9</vt:lpstr>
      <vt:lpstr>Sheet5</vt:lpstr>
      <vt:lpstr>Sheet7</vt:lpstr>
      <vt:lpstr>Sheet8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Lissette Gutiérrez Díaz</dc:creator>
  <cp:lastModifiedBy>Claudia Lissette Gutiérrez Díaz</cp:lastModifiedBy>
  <dcterms:created xsi:type="dcterms:W3CDTF">2025-03-17T01:05:11Z</dcterms:created>
  <dcterms:modified xsi:type="dcterms:W3CDTF">2025-06-09T03:37:29Z</dcterms:modified>
</cp:coreProperties>
</file>